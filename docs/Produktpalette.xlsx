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eisworks-my.sharepoint.com/personal/office_xeisworks_at/Documents/02 XeisWorks/02 Dokumente/"/>
    </mc:Choice>
  </mc:AlternateContent>
  <xr:revisionPtr revIDLastSave="565" documentId="13_ncr:1_{09FA3FC1-84AF-4744-8ED9-C9EFC72B6A46}" xr6:coauthVersionLast="47" xr6:coauthVersionMax="47" xr10:uidLastSave="{852470FD-9523-4582-A1B9-143AA6715CDD}"/>
  <bookViews>
    <workbookView xWindow="-108" yWindow="-108" windowWidth="30936" windowHeight="16776" tabRatio="638" activeTab="1" xr2:uid="{D11D58EE-BA3B-40EF-999E-E46348429402}"/>
  </bookViews>
  <sheets>
    <sheet name="XeisWorks" sheetId="1" r:id="rId1"/>
    <sheet name="MusikHeroes" sheetId="2" r:id="rId2"/>
    <sheet name="Amazon" sheetId="5" r:id="rId3"/>
    <sheet name="Produktpalette" sheetId="4" r:id="rId4"/>
    <sheet name="Besetzungen" sheetId="6" r:id="rId5"/>
    <sheet name="Händler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12" i="1" l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53" i="1"/>
  <c r="F48" i="4"/>
  <c r="F47" i="4"/>
  <c r="F44" i="4"/>
  <c r="F43" i="4"/>
  <c r="G42" i="4"/>
  <c r="F42" i="4"/>
  <c r="G41" i="4"/>
  <c r="F41" i="4"/>
  <c r="G38" i="4"/>
  <c r="F38" i="4"/>
  <c r="G37" i="4"/>
  <c r="F37" i="4"/>
  <c r="F34" i="4"/>
  <c r="F33" i="4"/>
  <c r="F30" i="4"/>
  <c r="F29" i="4"/>
  <c r="F46" i="4"/>
  <c r="F45" i="4"/>
  <c r="F32" i="4"/>
  <c r="F31" i="4"/>
  <c r="G26" i="4"/>
  <c r="G27" i="4"/>
  <c r="G28" i="4"/>
  <c r="G35" i="4"/>
  <c r="G36" i="4"/>
  <c r="G39" i="4"/>
  <c r="G40" i="4"/>
  <c r="G25" i="4"/>
  <c r="G15" i="4"/>
  <c r="G16" i="4"/>
  <c r="G17" i="4"/>
  <c r="G18" i="4"/>
  <c r="G19" i="4"/>
  <c r="G14" i="4"/>
  <c r="G6" i="4"/>
  <c r="G7" i="4"/>
  <c r="G8" i="4"/>
  <c r="G5" i="4"/>
  <c r="F28" i="4"/>
  <c r="F35" i="4"/>
  <c r="F36" i="4"/>
  <c r="F39" i="4"/>
  <c r="F40" i="4"/>
  <c r="F27" i="4"/>
  <c r="F5" i="4"/>
  <c r="F6" i="4"/>
  <c r="F7" i="4"/>
  <c r="F8" i="4"/>
  <c r="F14" i="4"/>
  <c r="F15" i="4"/>
  <c r="F16" i="4"/>
  <c r="F17" i="4"/>
  <c r="F18" i="4"/>
  <c r="F19" i="4"/>
  <c r="F25" i="4"/>
  <c r="F26" i="4"/>
</calcChain>
</file>

<file path=xl/sharedStrings.xml><?xml version="1.0" encoding="utf-8"?>
<sst xmlns="http://schemas.openxmlformats.org/spreadsheetml/2006/main" count="2202" uniqueCount="1380">
  <si>
    <t>Artikelnummern XEISWORKS</t>
  </si>
  <si>
    <t>XW-101</t>
  </si>
  <si>
    <t>XW-101.1</t>
  </si>
  <si>
    <t>XW-101.2</t>
  </si>
  <si>
    <t>XW-101.3</t>
  </si>
  <si>
    <t>XW-101.4</t>
  </si>
  <si>
    <t>XW-101.5</t>
  </si>
  <si>
    <t>XW-102</t>
  </si>
  <si>
    <t>XW-102.1</t>
  </si>
  <si>
    <t>XW-102.2</t>
  </si>
  <si>
    <t>XW-102.3</t>
  </si>
  <si>
    <t>XW-102.4</t>
  </si>
  <si>
    <t>XW-102.5</t>
  </si>
  <si>
    <t>XW-103</t>
  </si>
  <si>
    <t>XW-103.1</t>
  </si>
  <si>
    <t>XW-103.2</t>
  </si>
  <si>
    <t>XW-103.3</t>
  </si>
  <si>
    <t>XW-103.4</t>
  </si>
  <si>
    <t>XW-103.5</t>
  </si>
  <si>
    <t>XW-201</t>
  </si>
  <si>
    <t>XW-201.1</t>
  </si>
  <si>
    <t>XW-201.2</t>
  </si>
  <si>
    <t>XW-201.3</t>
  </si>
  <si>
    <t>XW-201.4</t>
  </si>
  <si>
    <t>XW-201.5</t>
  </si>
  <si>
    <t>XW-202</t>
  </si>
  <si>
    <t>XW-202.1</t>
  </si>
  <si>
    <t>XW-202.2</t>
  </si>
  <si>
    <t>XW-202.3</t>
  </si>
  <si>
    <t>XW-202.4</t>
  </si>
  <si>
    <t>XW-202.5</t>
  </si>
  <si>
    <t>#1 WeihnachtsBlech</t>
  </si>
  <si>
    <t>#2 AlmenBlech</t>
  </si>
  <si>
    <t>#3 KirchenBlech</t>
  </si>
  <si>
    <t>#5 TrauerBlech</t>
  </si>
  <si>
    <t>XW-203</t>
  </si>
  <si>
    <t>XW-203.1</t>
  </si>
  <si>
    <t>XW-203.2</t>
  </si>
  <si>
    <t>XW-203.3</t>
  </si>
  <si>
    <t>XW-203.4</t>
  </si>
  <si>
    <t>XW-203.5</t>
  </si>
  <si>
    <t>XW-204</t>
  </si>
  <si>
    <t>XW-204.1</t>
  </si>
  <si>
    <t>XW-204.2</t>
  </si>
  <si>
    <t>XW-204.3</t>
  </si>
  <si>
    <t>XW-204.4</t>
  </si>
  <si>
    <t>XW-204.5</t>
  </si>
  <si>
    <t>XW-205</t>
  </si>
  <si>
    <t>XW-205.1</t>
  </si>
  <si>
    <t>XW-205.2</t>
  </si>
  <si>
    <t>XW-205.3</t>
  </si>
  <si>
    <t>XW-205.4</t>
  </si>
  <si>
    <t>XW-205.5</t>
  </si>
  <si>
    <t>XW-301</t>
  </si>
  <si>
    <t>#1 WeihnachtsBlech [SECTION]</t>
  </si>
  <si>
    <t>XW-301.1</t>
  </si>
  <si>
    <t>XW-301.2</t>
  </si>
  <si>
    <t>XW-301.3</t>
  </si>
  <si>
    <t>XW-301.4</t>
  </si>
  <si>
    <t>XW-301.5</t>
  </si>
  <si>
    <t>XW-302</t>
  </si>
  <si>
    <t>XW-302.1</t>
  </si>
  <si>
    <t>XW-302.2</t>
  </si>
  <si>
    <t>XW-302.3</t>
  </si>
  <si>
    <t>XW-302.4</t>
  </si>
  <si>
    <t>XW-302.5</t>
  </si>
  <si>
    <t>#2 AlmenBlech [SECTION]</t>
  </si>
  <si>
    <t>XW-401</t>
  </si>
  <si>
    <t>ZS - Flügelhorn 1 in C</t>
  </si>
  <si>
    <t>ZS - Flügelhorn 2 in C</t>
  </si>
  <si>
    <t>ZS - Horn 1 in F</t>
  </si>
  <si>
    <t>ZS - Horn 2 in F</t>
  </si>
  <si>
    <t>ZS - Tuba in Bb</t>
  </si>
  <si>
    <t>Volksmusik - Band 1</t>
  </si>
  <si>
    <t>Volksmusik - Band 3</t>
  </si>
  <si>
    <t>Volksmusik - Band 2</t>
  </si>
  <si>
    <t>01 TanzlMusi-Edition</t>
  </si>
  <si>
    <t>XW-402</t>
  </si>
  <si>
    <t>XW-400</t>
  </si>
  <si>
    <t>XW-101.6</t>
  </si>
  <si>
    <t>XW-101.7</t>
  </si>
  <si>
    <t>Ohrwürmer #1 TRP</t>
  </si>
  <si>
    <t>Ohrwürmer #1 POS</t>
  </si>
  <si>
    <t>Tanz-&amp;G'stanzl #1 TRP</t>
  </si>
  <si>
    <t>Tanz-&amp;G'stanzl #1 POS</t>
  </si>
  <si>
    <t>In Gedanken bin i bei dir</t>
  </si>
  <si>
    <t>XW-403</t>
  </si>
  <si>
    <t>Christkindl-Hits #1 TRP</t>
  </si>
  <si>
    <t>Christkindl-Hits #1 POS</t>
  </si>
  <si>
    <t>XW-501.01</t>
  </si>
  <si>
    <t>XW-501.02</t>
  </si>
  <si>
    <t>XW-501.03</t>
  </si>
  <si>
    <t>XW-501.04</t>
  </si>
  <si>
    <t>XW-501.05</t>
  </si>
  <si>
    <t>XW-501.06</t>
  </si>
  <si>
    <t>XW-501.07</t>
  </si>
  <si>
    <t>XW-511.01</t>
  </si>
  <si>
    <t>XW-511.02</t>
  </si>
  <si>
    <t>XW-511.03</t>
  </si>
  <si>
    <t>XW-511.04</t>
  </si>
  <si>
    <t>XW-511.05</t>
  </si>
  <si>
    <t>XW-511.06</t>
  </si>
  <si>
    <t>XW-511.07</t>
  </si>
  <si>
    <t>XW-501.10</t>
  </si>
  <si>
    <t>XW-501.08</t>
  </si>
  <si>
    <t>XW-501.09</t>
  </si>
  <si>
    <t>XW-511.08</t>
  </si>
  <si>
    <t>XW-511.09</t>
  </si>
  <si>
    <t>XW-511.10</t>
  </si>
  <si>
    <t>XW-521.01</t>
  </si>
  <si>
    <t>XW-521.02</t>
  </si>
  <si>
    <t>XW-521.03</t>
  </si>
  <si>
    <t>XW-521.04</t>
  </si>
  <si>
    <t>XW-521.05</t>
  </si>
  <si>
    <t>XW-521.06</t>
  </si>
  <si>
    <t>XW-521.07</t>
  </si>
  <si>
    <t>XW-521.08</t>
  </si>
  <si>
    <t>XW-521.09</t>
  </si>
  <si>
    <t>XW-521.10</t>
  </si>
  <si>
    <t>XW-531.01</t>
  </si>
  <si>
    <t>XW-531.02</t>
  </si>
  <si>
    <t>XW-531.03</t>
  </si>
  <si>
    <t>XW-531.04</t>
  </si>
  <si>
    <t>XW-531.05</t>
  </si>
  <si>
    <t>XW-531.06</t>
  </si>
  <si>
    <t>XW-531.07</t>
  </si>
  <si>
    <t>XW-531.08</t>
  </si>
  <si>
    <t>XW-531.09</t>
  </si>
  <si>
    <t>XW-531.10</t>
  </si>
  <si>
    <t>Adeste fideles</t>
  </si>
  <si>
    <t>Hiaz kimmt die heilige Weihnachtszeit</t>
  </si>
  <si>
    <t>WarmUps #1 TRP</t>
  </si>
  <si>
    <t>WarmUps #1 POS</t>
  </si>
  <si>
    <t>XW-541.01</t>
  </si>
  <si>
    <t>XW-541.02</t>
  </si>
  <si>
    <t>XW-541.03</t>
  </si>
  <si>
    <t>XW-541.04</t>
  </si>
  <si>
    <t>XW-541.05</t>
  </si>
  <si>
    <t>XW-541.06</t>
  </si>
  <si>
    <t>XW-541.07</t>
  </si>
  <si>
    <t>BauernJazz #1 TRP</t>
  </si>
  <si>
    <t>BauernJazz #1 POS</t>
  </si>
  <si>
    <t>XW-502.01</t>
  </si>
  <si>
    <t>XW-502.02</t>
  </si>
  <si>
    <t>XW-502.03</t>
  </si>
  <si>
    <t>XW-502.04</t>
  </si>
  <si>
    <t>XW-502.05</t>
  </si>
  <si>
    <t>XW-502.06</t>
  </si>
  <si>
    <t>XW-502.07</t>
  </si>
  <si>
    <t>XW-512.01</t>
  </si>
  <si>
    <t>XW-512.02</t>
  </si>
  <si>
    <t>XW-512.03</t>
  </si>
  <si>
    <t>XW-512.04</t>
  </si>
  <si>
    <t>XW-512.05</t>
  </si>
  <si>
    <t>XW-512.06</t>
  </si>
  <si>
    <t>XW-512.07</t>
  </si>
  <si>
    <t>Ohrwürmer #2 TRP</t>
  </si>
  <si>
    <t>Ohrwürmer #2 POS</t>
  </si>
  <si>
    <t>#1 Zusatzstimme in C</t>
  </si>
  <si>
    <t>#1 Begleitstimme in C</t>
  </si>
  <si>
    <t>#1 Playalongs TRP</t>
  </si>
  <si>
    <t>#1 Playalongs POS</t>
  </si>
  <si>
    <t>#2 Zusatzstimme in B</t>
  </si>
  <si>
    <t>#2 Zusatzstimme in C</t>
  </si>
  <si>
    <t>#2 Begleitstimme in C</t>
  </si>
  <si>
    <t>#2 Playalongs TRP</t>
  </si>
  <si>
    <t>#2 Playalongs POS</t>
  </si>
  <si>
    <t>Tanz-&amp;G'stanzl #2 TRP</t>
  </si>
  <si>
    <t>Tanz-&amp;G'stanzl #2 POS</t>
  </si>
  <si>
    <t>Christkindl-Hits #2 TRP</t>
  </si>
  <si>
    <t>Christkindl-Hits #2 POS</t>
  </si>
  <si>
    <t>XW-522.01</t>
  </si>
  <si>
    <t>XW-522.02</t>
  </si>
  <si>
    <t>XW-522.03</t>
  </si>
  <si>
    <t>XW-522.04</t>
  </si>
  <si>
    <t>XW-522.05</t>
  </si>
  <si>
    <t>XW-522.06</t>
  </si>
  <si>
    <t>XW-522.07</t>
  </si>
  <si>
    <t>XW-104</t>
  </si>
  <si>
    <t>XW-104.3</t>
  </si>
  <si>
    <t>XW-104.4</t>
  </si>
  <si>
    <t>XW-104.5</t>
  </si>
  <si>
    <t>Art.Nr.</t>
  </si>
  <si>
    <t>Titel</t>
  </si>
  <si>
    <t>Beschreibung</t>
  </si>
  <si>
    <t>XW-206</t>
  </si>
  <si>
    <t>#4 HochzeitsBlech</t>
  </si>
  <si>
    <t>#6 SonntagsBlech</t>
  </si>
  <si>
    <t>#1 Volksmusik frisch gewaschen</t>
  </si>
  <si>
    <t>#2 Volksmusik frisch gewaschen</t>
  </si>
  <si>
    <t>#3 Volksmusik frisch gewaschen</t>
  </si>
  <si>
    <t>#4 Volksmusik frisch gewaschen</t>
  </si>
  <si>
    <t>brutto</t>
  </si>
  <si>
    <t>netto</t>
  </si>
  <si>
    <r>
      <t xml:space="preserve">TANZLMUSI </t>
    </r>
    <r>
      <rPr>
        <b/>
        <sz val="7"/>
        <color theme="1"/>
        <rFont val="Cambria"/>
        <family val="1"/>
      </rPr>
      <t>EDITION</t>
    </r>
  </si>
  <si>
    <t>Noten für variables Blechbläserquartett</t>
  </si>
  <si>
    <r>
      <t xml:space="preserve">MUSIKHEROES </t>
    </r>
    <r>
      <rPr>
        <b/>
        <sz val="7"/>
        <color theme="1"/>
        <rFont val="Cambria"/>
        <family val="1"/>
      </rPr>
      <t>EDITION</t>
    </r>
  </si>
  <si>
    <t>Moderne Unterrichtsliteratur - durchdacht konzipiert - spannend aufbereitet - humorvoll präsentiert - stilvoll begleitet</t>
  </si>
  <si>
    <t>Tanzl &amp; G'stanzl #1 TRP</t>
  </si>
  <si>
    <t>Tanzl &amp; G'stanzl #1 POS</t>
  </si>
  <si>
    <t>Tanzl &amp; G'stanzl #2 TRP</t>
  </si>
  <si>
    <t>Tanzl &amp; G'stanzl #2 POS</t>
  </si>
  <si>
    <t>XW-500.01</t>
  </si>
  <si>
    <t>Div Bestellungen MusikHeroes digital</t>
  </si>
  <si>
    <t>SKG*</t>
  </si>
  <si>
    <t>*SKG = Schwierigkeitsgrad, Einteilung von 1-5</t>
  </si>
  <si>
    <r>
      <t xml:space="preserve">Coole Songs mit Playalongs - </t>
    </r>
    <r>
      <rPr>
        <vertAlign val="subscript"/>
        <sz val="8"/>
        <color theme="1"/>
        <rFont val="Maestro"/>
        <charset val="2"/>
      </rPr>
      <t>&amp;</t>
    </r>
    <r>
      <rPr>
        <vertAlign val="subscript"/>
        <sz val="11"/>
        <color theme="1"/>
        <rFont val="Cambria"/>
        <family val="1"/>
      </rPr>
      <t xml:space="preserve"> in Bb</t>
    </r>
  </si>
  <si>
    <r>
      <t xml:space="preserve">Coole Songs mit Playalongs - </t>
    </r>
    <r>
      <rPr>
        <sz val="8"/>
        <color theme="1"/>
        <rFont val="Maestro"/>
        <charset val="2"/>
      </rPr>
      <t>?</t>
    </r>
    <r>
      <rPr>
        <vertAlign val="subscript"/>
        <sz val="11"/>
        <color theme="1"/>
        <rFont val="Cambria"/>
        <family val="1"/>
      </rPr>
      <t xml:space="preserve"> in C</t>
    </r>
  </si>
  <si>
    <r>
      <t xml:space="preserve">Volksmusik für Einsteiger - </t>
    </r>
    <r>
      <rPr>
        <vertAlign val="subscript"/>
        <sz val="8"/>
        <color theme="1"/>
        <rFont val="Maestro"/>
        <charset val="2"/>
      </rPr>
      <t>&amp;</t>
    </r>
    <r>
      <rPr>
        <vertAlign val="subscript"/>
        <sz val="11"/>
        <color theme="1"/>
        <rFont val="Cambria"/>
        <family val="1"/>
      </rPr>
      <t xml:space="preserve"> in Bb</t>
    </r>
  </si>
  <si>
    <r>
      <t xml:space="preserve">Volksmusik für Einsteiger - </t>
    </r>
    <r>
      <rPr>
        <sz val="8"/>
        <color theme="1"/>
        <rFont val="Maestro"/>
        <charset val="2"/>
      </rPr>
      <t>?</t>
    </r>
    <r>
      <rPr>
        <vertAlign val="subscript"/>
        <sz val="11"/>
        <color theme="1"/>
        <rFont val="Cambria"/>
        <family val="1"/>
      </rPr>
      <t xml:space="preserve"> in C</t>
    </r>
  </si>
  <si>
    <r>
      <t xml:space="preserve">Volksmusik für Aufsteiger - </t>
    </r>
    <r>
      <rPr>
        <vertAlign val="subscript"/>
        <sz val="8"/>
        <color theme="1"/>
        <rFont val="Maestro"/>
        <charset val="2"/>
      </rPr>
      <t>&amp;</t>
    </r>
    <r>
      <rPr>
        <vertAlign val="subscript"/>
        <sz val="11"/>
        <color theme="1"/>
        <rFont val="Cambria"/>
        <family val="1"/>
      </rPr>
      <t xml:space="preserve"> in Bb</t>
    </r>
  </si>
  <si>
    <r>
      <t xml:space="preserve">Volksmusik für Aufsteiger - </t>
    </r>
    <r>
      <rPr>
        <sz val="8"/>
        <color theme="1"/>
        <rFont val="Maestro"/>
        <charset val="2"/>
      </rPr>
      <t>?</t>
    </r>
    <r>
      <rPr>
        <vertAlign val="subscript"/>
        <sz val="11"/>
        <color theme="1"/>
        <rFont val="Cambria"/>
        <family val="1"/>
      </rPr>
      <t xml:space="preserve"> in C</t>
    </r>
  </si>
  <si>
    <r>
      <t xml:space="preserve">Weihnachtssongs mit Playalongs - </t>
    </r>
    <r>
      <rPr>
        <vertAlign val="subscript"/>
        <sz val="8"/>
        <color theme="1"/>
        <rFont val="Maestro"/>
        <charset val="2"/>
      </rPr>
      <t>&amp;</t>
    </r>
    <r>
      <rPr>
        <vertAlign val="subscript"/>
        <sz val="11"/>
        <color theme="1"/>
        <rFont val="Cambria"/>
        <family val="1"/>
      </rPr>
      <t xml:space="preserve"> in Bb </t>
    </r>
  </si>
  <si>
    <r>
      <t xml:space="preserve">Weihnachtssongs mit Playalongs - </t>
    </r>
    <r>
      <rPr>
        <sz val="8"/>
        <color theme="1"/>
        <rFont val="Maestro"/>
        <charset val="2"/>
      </rPr>
      <t>?</t>
    </r>
    <r>
      <rPr>
        <vertAlign val="subscript"/>
        <sz val="11"/>
        <color theme="1"/>
        <rFont val="Cambria"/>
        <family val="1"/>
      </rPr>
      <t xml:space="preserve"> in C</t>
    </r>
  </si>
  <si>
    <t>ASIN</t>
  </si>
  <si>
    <t>TITEL</t>
  </si>
  <si>
    <t>ART.-NR.</t>
  </si>
  <si>
    <t>AMAZON</t>
  </si>
  <si>
    <t>FNSKU</t>
  </si>
  <si>
    <t>X0019RQ6OF</t>
  </si>
  <si>
    <t>X0019RQ2PX</t>
  </si>
  <si>
    <t>X0019RQEW9</t>
  </si>
  <si>
    <t>X0019RQEWJ</t>
  </si>
  <si>
    <t>X0019RQ6OP</t>
  </si>
  <si>
    <t>X0019RMAFT</t>
  </si>
  <si>
    <t>ISBN</t>
  </si>
  <si>
    <t>XW-404</t>
  </si>
  <si>
    <t>Übermorgen</t>
  </si>
  <si>
    <t>XW-405</t>
  </si>
  <si>
    <t>Bin's a junger Witwer</t>
  </si>
  <si>
    <t>XW-406</t>
  </si>
  <si>
    <t>Urlaubspolka</t>
  </si>
  <si>
    <t>Kirchen-7er</t>
  </si>
  <si>
    <t>Advent-7er</t>
  </si>
  <si>
    <t>02 Blech4er</t>
  </si>
  <si>
    <t>03 Register4er</t>
  </si>
  <si>
    <t>04 Blech-7er</t>
  </si>
  <si>
    <t>XW-407</t>
  </si>
  <si>
    <t>XW-408</t>
  </si>
  <si>
    <t>XW-409</t>
  </si>
  <si>
    <t>XW-410</t>
  </si>
  <si>
    <t>XW-411</t>
  </si>
  <si>
    <t>XW-412</t>
  </si>
  <si>
    <t>XW-413</t>
  </si>
  <si>
    <t>XW-414</t>
  </si>
  <si>
    <t>XW-415</t>
  </si>
  <si>
    <t>XW-416</t>
  </si>
  <si>
    <t>XW-417</t>
  </si>
  <si>
    <t>XW-418</t>
  </si>
  <si>
    <t>XW-419</t>
  </si>
  <si>
    <t>XW-420</t>
  </si>
  <si>
    <t>XW-421</t>
  </si>
  <si>
    <t>XW-422</t>
  </si>
  <si>
    <t>XW-423</t>
  </si>
  <si>
    <t>XW-424</t>
  </si>
  <si>
    <t>XW-425</t>
  </si>
  <si>
    <t>XW-426</t>
  </si>
  <si>
    <t>XW-427</t>
  </si>
  <si>
    <t>XW-428</t>
  </si>
  <si>
    <t>XW-429</t>
  </si>
  <si>
    <t>XW-430</t>
  </si>
  <si>
    <t>30er-Polka</t>
  </si>
  <si>
    <t>Pfoarramadl</t>
  </si>
  <si>
    <t>Am Kamin</t>
  </si>
  <si>
    <t>Anna Polka</t>
  </si>
  <si>
    <t>April Polka</t>
  </si>
  <si>
    <t>Auf da Hulzgstett'n</t>
  </si>
  <si>
    <t>Bagatelle</t>
  </si>
  <si>
    <t>Banjo Boy</t>
  </si>
  <si>
    <t>BH Polka</t>
  </si>
  <si>
    <t>Blondinen Walzer</t>
  </si>
  <si>
    <t>Breznicka Polka</t>
  </si>
  <si>
    <t>Das Glühwürmchen</t>
  </si>
  <si>
    <t>Das Oppossum</t>
  </si>
  <si>
    <t>Der Feuersalamander</t>
  </si>
  <si>
    <t>Der Schließer</t>
  </si>
  <si>
    <t>Der Schmetterling</t>
  </si>
  <si>
    <t>Die Akute</t>
  </si>
  <si>
    <t>Erinnerungen an Brennberg</t>
  </si>
  <si>
    <t>XW-431</t>
  </si>
  <si>
    <t>XW-432</t>
  </si>
  <si>
    <t>XW-433</t>
  </si>
  <si>
    <t>XW-434</t>
  </si>
  <si>
    <t>XW-435</t>
  </si>
  <si>
    <t>XW-436</t>
  </si>
  <si>
    <t>XW-437</t>
  </si>
  <si>
    <t>XW-438</t>
  </si>
  <si>
    <t>XW-439</t>
  </si>
  <si>
    <t>XW-440</t>
  </si>
  <si>
    <t>XW-441</t>
  </si>
  <si>
    <t>XW-442</t>
  </si>
  <si>
    <t>XW-443</t>
  </si>
  <si>
    <t>XW-444</t>
  </si>
  <si>
    <t>XW-445</t>
  </si>
  <si>
    <t>XW-446</t>
  </si>
  <si>
    <t>XW-447</t>
  </si>
  <si>
    <t>XW-448</t>
  </si>
  <si>
    <t>XW-449</t>
  </si>
  <si>
    <t>XW-450</t>
  </si>
  <si>
    <t>XW-451</t>
  </si>
  <si>
    <t>XW-452</t>
  </si>
  <si>
    <t>XW-453</t>
  </si>
  <si>
    <t>XW-454</t>
  </si>
  <si>
    <t>XW-455</t>
  </si>
  <si>
    <t>XW-456</t>
  </si>
  <si>
    <t>XW-457</t>
  </si>
  <si>
    <t>XW-458</t>
  </si>
  <si>
    <t>XW-459</t>
  </si>
  <si>
    <t>XW-460</t>
  </si>
  <si>
    <t>XW-461</t>
  </si>
  <si>
    <t>XW-462</t>
  </si>
  <si>
    <t>XW-463</t>
  </si>
  <si>
    <t>XW-464</t>
  </si>
  <si>
    <t>XW-465</t>
  </si>
  <si>
    <t>XW-466</t>
  </si>
  <si>
    <t>XW-467</t>
  </si>
  <si>
    <t>Fliegermarsch</t>
  </si>
  <si>
    <t>Flotter Dreier</t>
  </si>
  <si>
    <t>Für Oma</t>
  </si>
  <si>
    <t>Für schöne Stunden</t>
  </si>
  <si>
    <t>Hinter der Garage</t>
  </si>
  <si>
    <t>Hochzeitswalzer Nr.2</t>
  </si>
  <si>
    <t>Kolo</t>
  </si>
  <si>
    <t>Leckmicha Marsch</t>
  </si>
  <si>
    <t>Meine Mutti hat gesagt</t>
  </si>
  <si>
    <t>Milacek</t>
  </si>
  <si>
    <t>Niel Gow's Lament</t>
  </si>
  <si>
    <t>Pix</t>
  </si>
  <si>
    <t>Praise You</t>
  </si>
  <si>
    <t>Retuschen Boarischer</t>
  </si>
  <si>
    <t>Schöne Maderl</t>
  </si>
  <si>
    <t>S'is Feiaombd</t>
  </si>
  <si>
    <t>Vorgestern</t>
  </si>
  <si>
    <t>Zadok The Priest</t>
  </si>
  <si>
    <t>x</t>
  </si>
  <si>
    <t>Kleine Böhmische</t>
  </si>
  <si>
    <t>Trp.</t>
  </si>
  <si>
    <t>Flh1</t>
  </si>
  <si>
    <t>Flh2</t>
  </si>
  <si>
    <t>Ten</t>
  </si>
  <si>
    <t>Bar B+C</t>
  </si>
  <si>
    <t>Tuba 1+2 C</t>
  </si>
  <si>
    <t>Schlagzeug</t>
  </si>
  <si>
    <t>Akkordeon</t>
  </si>
  <si>
    <t>05 MusikHeroes</t>
  </si>
  <si>
    <t>Siehe eigene Registerkarte</t>
  </si>
  <si>
    <t>Pepi do?</t>
  </si>
  <si>
    <t>Arnhem</t>
  </si>
  <si>
    <t>XW-510.01</t>
  </si>
  <si>
    <t>StarterKit Trompete [TIEF]</t>
  </si>
  <si>
    <t>XW-510.02</t>
  </si>
  <si>
    <t>XW-510.03</t>
  </si>
  <si>
    <t>XW-510.04</t>
  </si>
  <si>
    <t>StarterKit Posaune [HOCH]</t>
  </si>
  <si>
    <t>StarterKit Posaune [TIEF]</t>
  </si>
  <si>
    <t>StarterKit Trompete [HOCH]</t>
  </si>
  <si>
    <t>Aeronauten-Marsch</t>
  </si>
  <si>
    <t>Gabriella's Song</t>
  </si>
  <si>
    <t>Für Weihnachten bereit</t>
  </si>
  <si>
    <r>
      <t>BLECH</t>
    </r>
    <r>
      <rPr>
        <b/>
        <sz val="16"/>
        <color theme="1"/>
        <rFont val="Cambria"/>
        <family val="1"/>
      </rPr>
      <t>4</t>
    </r>
    <r>
      <rPr>
        <b/>
        <sz val="12"/>
        <color theme="1"/>
        <rFont val="Cambria"/>
        <family val="1"/>
      </rPr>
      <t xml:space="preserve">ER </t>
    </r>
    <r>
      <rPr>
        <b/>
        <sz val="7"/>
        <color theme="1"/>
        <rFont val="Cambria"/>
        <family val="1"/>
      </rPr>
      <t>EDITION</t>
    </r>
  </si>
  <si>
    <r>
      <t>BLECH</t>
    </r>
    <r>
      <rPr>
        <b/>
        <sz val="16"/>
        <color theme="1"/>
        <rFont val="Cambria"/>
        <family val="1"/>
      </rPr>
      <t>7</t>
    </r>
    <r>
      <rPr>
        <b/>
        <sz val="12"/>
        <color theme="1"/>
        <rFont val="Cambria"/>
        <family val="1"/>
      </rPr>
      <t xml:space="preserve">ER </t>
    </r>
    <r>
      <rPr>
        <b/>
        <sz val="7"/>
        <color theme="1"/>
        <rFont val="Cambria"/>
        <family val="1"/>
      </rPr>
      <t>EDITION</t>
    </r>
  </si>
  <si>
    <t>Noten in der klassischen "Blechhauf'n"-Besetzung</t>
  </si>
  <si>
    <t xml:space="preserve">Polka von Albert Wieder </t>
  </si>
  <si>
    <t xml:space="preserve">Polka von Christian Wieder </t>
  </si>
  <si>
    <t xml:space="preserve">Polka von Roman Weninger </t>
  </si>
  <si>
    <t xml:space="preserve">Walzer von Albert Wieder </t>
  </si>
  <si>
    <t>Komp.: Albert Wieder</t>
  </si>
  <si>
    <t xml:space="preserve">Komp.: Albert Wieder </t>
  </si>
  <si>
    <t xml:space="preserve">Advents- und Weihnachtsmusik </t>
  </si>
  <si>
    <t xml:space="preserve">Alpenländische Lieder &amp; Jodler </t>
  </si>
  <si>
    <t xml:space="preserve">Festliche Kirchenmusik </t>
  </si>
  <si>
    <t xml:space="preserve">Feierliche Hochzeitsmusik </t>
  </si>
  <si>
    <t xml:space="preserve">Ergreifende Trauermusik </t>
  </si>
  <si>
    <t>Volksweise, bearbeitet von Bernhard Holl</t>
  </si>
  <si>
    <t>Volksweise, bearbeitet von Albert Wieder</t>
  </si>
  <si>
    <t>4 kirchliche Stücke, bearbeitet von Bernhard Holl</t>
  </si>
  <si>
    <t>4 adventliche Stücke, bearbeitet von Bernhard Holl</t>
  </si>
  <si>
    <t>Kärntnerlied von Hedi Preissegger, Arr.: B. Holl</t>
  </si>
  <si>
    <t>Traditionelle Polka, Arr.: Albert Wieder</t>
  </si>
  <si>
    <t>Marsch von Franz Posch, Arr.: Albert Wieder</t>
  </si>
  <si>
    <t>Walzer nach einer Volksweise, Arr.: Roman Weninger</t>
  </si>
  <si>
    <t>Traditionelle Polka, Arr.: da Blechhauf'n</t>
  </si>
  <si>
    <t>Polka von Josef Konecny, Arr.: Albert Wieder</t>
  </si>
  <si>
    <t>Traditioneller Walzer, Arr.: da Blechhauf'n</t>
  </si>
  <si>
    <t>Komp.: Ludwig v. Beethoven, Arr.: Christian Wieder</t>
  </si>
  <si>
    <t>Walzer von Herbert Pixner, Arr.: Albert Wieder</t>
  </si>
  <si>
    <t>Polka von Karel Valdauf, Arr.: Albert Wieder</t>
  </si>
  <si>
    <t>Traditionelle Polka, Arr.: Roman Weninger</t>
  </si>
  <si>
    <t>Marsch von Hermann Dostal, Arr.: Albert Wieder</t>
  </si>
  <si>
    <t>Marsch von Albert E. Kelly, Arr.: Bernhard Holl</t>
  </si>
  <si>
    <t>Polka von Christian Wieder</t>
  </si>
  <si>
    <t>Marsch von Herbert Pixner, Arr.: Albert Wieder</t>
  </si>
  <si>
    <t>Boarischer von Peter Kiesenhofer, Arr.: Bernhard Holl</t>
  </si>
  <si>
    <t>"Champions League Fanfare", Arr.: Albert Wieder</t>
  </si>
  <si>
    <t>1: sehr leicht, 2: leicht, 3: mittel, 4: fordernd, 5: schwer</t>
  </si>
  <si>
    <t>The Lion sleeps tonight</t>
  </si>
  <si>
    <t>Hark! The Herald Angels Sing</t>
  </si>
  <si>
    <t>Wir sagen euch an</t>
  </si>
  <si>
    <t>O Jubel O Freud</t>
  </si>
  <si>
    <t>Auf auf ihr Hirten</t>
  </si>
  <si>
    <t>Weihnacht wie bist du schön</t>
  </si>
  <si>
    <t>XW-601.1</t>
  </si>
  <si>
    <t>XW-601.2</t>
  </si>
  <si>
    <t>XW-602.1</t>
  </si>
  <si>
    <t>XW-602.2</t>
  </si>
  <si>
    <t>XW-603.1</t>
  </si>
  <si>
    <t>XW-604.1</t>
  </si>
  <si>
    <t>XW-605.1</t>
  </si>
  <si>
    <t>XW-605.2</t>
  </si>
  <si>
    <t>XW-603.2</t>
  </si>
  <si>
    <t>XW-604.2</t>
  </si>
  <si>
    <t>XW-606.1</t>
  </si>
  <si>
    <t>XW-606.2</t>
  </si>
  <si>
    <t>XW-607.1</t>
  </si>
  <si>
    <t>XW-607.2</t>
  </si>
  <si>
    <t>XW-608.1</t>
  </si>
  <si>
    <t>XW-608.2</t>
  </si>
  <si>
    <t>Weihnachtlich</t>
  </si>
  <si>
    <t>XW-551.10</t>
  </si>
  <si>
    <t>Klassisch</t>
  </si>
  <si>
    <t>Jazzy</t>
  </si>
  <si>
    <t>Folk</t>
  </si>
  <si>
    <t>XW-553.10</t>
  </si>
  <si>
    <t>XW-554.10</t>
  </si>
  <si>
    <t>XW-551.01</t>
  </si>
  <si>
    <t>XW-551.02</t>
  </si>
  <si>
    <t>XW-551.03</t>
  </si>
  <si>
    <t>XW-551.04</t>
  </si>
  <si>
    <t>XW-551.05</t>
  </si>
  <si>
    <t>XW-551.06</t>
  </si>
  <si>
    <t>XW-551.07</t>
  </si>
  <si>
    <t>XW-551.08</t>
  </si>
  <si>
    <t>XW-551.09</t>
  </si>
  <si>
    <t>XW-552.01</t>
  </si>
  <si>
    <t>XW-552.02</t>
  </si>
  <si>
    <t>XW-552.03</t>
  </si>
  <si>
    <t>XW-552.04</t>
  </si>
  <si>
    <t>XW-552.05</t>
  </si>
  <si>
    <t>XW-552.06</t>
  </si>
  <si>
    <t>XW-552.07</t>
  </si>
  <si>
    <t>XW-552.08</t>
  </si>
  <si>
    <t>XW-552.09</t>
  </si>
  <si>
    <t>XW-553.01</t>
  </si>
  <si>
    <t>XW-553.02</t>
  </si>
  <si>
    <t>XW-553.03</t>
  </si>
  <si>
    <t>XW-553.04</t>
  </si>
  <si>
    <t>XW-553.05</t>
  </si>
  <si>
    <t>XW-553.06</t>
  </si>
  <si>
    <t>XW-553.07</t>
  </si>
  <si>
    <t>XW-553.08</t>
  </si>
  <si>
    <t>XW-553.09</t>
  </si>
  <si>
    <t>XW-554.01</t>
  </si>
  <si>
    <t>XW-554.02</t>
  </si>
  <si>
    <t>XW-554.03</t>
  </si>
  <si>
    <t>XW-554.04</t>
  </si>
  <si>
    <t>XW-554.05</t>
  </si>
  <si>
    <t>XW-554.06</t>
  </si>
  <si>
    <t>XW-554.07</t>
  </si>
  <si>
    <t>XW-554.08</t>
  </si>
  <si>
    <t>XW-554.09</t>
  </si>
  <si>
    <t>Weihnachts-Medley 1</t>
  </si>
  <si>
    <t>05 MusikHeroes / Junior4tette</t>
  </si>
  <si>
    <t>05 MusikHeroes / Section4tette</t>
  </si>
  <si>
    <t>XW-555.01</t>
  </si>
  <si>
    <t>XW-555.02</t>
  </si>
  <si>
    <t>XW-555.03</t>
  </si>
  <si>
    <t>XW-555.04</t>
  </si>
  <si>
    <t>XW-555.05</t>
  </si>
  <si>
    <t>XW-555.06</t>
  </si>
  <si>
    <t>XW-555.07</t>
  </si>
  <si>
    <t>XW-555.08</t>
  </si>
  <si>
    <t>XW-555.09</t>
  </si>
  <si>
    <t>XW-555.10</t>
  </si>
  <si>
    <t>XW-556.01</t>
  </si>
  <si>
    <t>XW-556.02</t>
  </si>
  <si>
    <t>XW-556.03</t>
  </si>
  <si>
    <t>XW-556.04</t>
  </si>
  <si>
    <t>XW-556.05</t>
  </si>
  <si>
    <t>XW-556.06</t>
  </si>
  <si>
    <t>XW-556.07</t>
  </si>
  <si>
    <t>XW-556.08</t>
  </si>
  <si>
    <t>XW-556.09</t>
  </si>
  <si>
    <t>XW-556.10</t>
  </si>
  <si>
    <t>XW-557.01</t>
  </si>
  <si>
    <t>XW-557.02</t>
  </si>
  <si>
    <t>XW-557.03</t>
  </si>
  <si>
    <t>XW-557.04</t>
  </si>
  <si>
    <t>XW-557.05</t>
  </si>
  <si>
    <t>XW-557.06</t>
  </si>
  <si>
    <t>XW-557.07</t>
  </si>
  <si>
    <t>XW-557.08</t>
  </si>
  <si>
    <t>XW-557.09</t>
  </si>
  <si>
    <t>XW-557.10</t>
  </si>
  <si>
    <t>XW-558.01</t>
  </si>
  <si>
    <t>XW-558.02</t>
  </si>
  <si>
    <t>XW-558.03</t>
  </si>
  <si>
    <t>XW-558.04</t>
  </si>
  <si>
    <t>XW-558.05</t>
  </si>
  <si>
    <t>XW-558.06</t>
  </si>
  <si>
    <t>XW-558.07</t>
  </si>
  <si>
    <t>XW-558.08</t>
  </si>
  <si>
    <t>XW-558.09</t>
  </si>
  <si>
    <t>XW-558.10</t>
  </si>
  <si>
    <t>XW-609.1</t>
  </si>
  <si>
    <t>XW-609.2</t>
  </si>
  <si>
    <t>Kinderträume [Blasorch.]</t>
  </si>
  <si>
    <t>Div. Blechhaufn-Noten</t>
  </si>
  <si>
    <t>XW-102.6</t>
  </si>
  <si>
    <t>XW-103.6</t>
  </si>
  <si>
    <t>Volksmusik - Band 4</t>
  </si>
  <si>
    <t>XW-104.1</t>
  </si>
  <si>
    <t>XW-104.2</t>
  </si>
  <si>
    <t>XW-104.6</t>
  </si>
  <si>
    <t>Kannst du Knödel kochen</t>
  </si>
  <si>
    <t>Nein, ich w.n.l. Picc-Flöte sp.</t>
  </si>
  <si>
    <r>
      <t xml:space="preserve">Aufwärmsongs mit Playalongs - </t>
    </r>
    <r>
      <rPr>
        <vertAlign val="subscript"/>
        <sz val="8"/>
        <color theme="1"/>
        <rFont val="Maestro"/>
        <charset val="2"/>
      </rPr>
      <t>&amp;</t>
    </r>
    <r>
      <rPr>
        <vertAlign val="subscript"/>
        <sz val="11"/>
        <color theme="1"/>
        <rFont val="Cambria"/>
        <family val="1"/>
      </rPr>
      <t xml:space="preserve"> in Bb</t>
    </r>
  </si>
  <si>
    <r>
      <t xml:space="preserve">Aufwärmsongs mit Playalongs - </t>
    </r>
    <r>
      <rPr>
        <sz val="8"/>
        <color theme="1"/>
        <rFont val="Maestro"/>
        <charset val="2"/>
      </rPr>
      <t>?</t>
    </r>
    <r>
      <rPr>
        <vertAlign val="subscript"/>
        <sz val="11"/>
        <color theme="1"/>
        <rFont val="Cambria"/>
        <family val="1"/>
      </rPr>
      <t xml:space="preserve"> in C</t>
    </r>
  </si>
  <si>
    <t>Volksmusik aus dem Alpenraum</t>
  </si>
  <si>
    <t>Noten für variable Tanzlmusi-Besetzungen</t>
  </si>
  <si>
    <t>BlechAlong #1</t>
  </si>
  <si>
    <t>vorÜbermorgen</t>
  </si>
  <si>
    <t>Tierzuliebe</t>
  </si>
  <si>
    <t>Betörend röhrend</t>
  </si>
  <si>
    <t>Entertainment live</t>
  </si>
  <si>
    <t>BH</t>
  </si>
  <si>
    <t>On The Road</t>
  </si>
  <si>
    <t>BH XXL</t>
  </si>
  <si>
    <t>Wirtshausrunde</t>
  </si>
  <si>
    <t>Home</t>
  </si>
  <si>
    <t>Entschwunden</t>
  </si>
  <si>
    <t>XW-610.1</t>
  </si>
  <si>
    <t>Neverna Milenka [Gr.Böhm.]</t>
  </si>
  <si>
    <t>Die Waldhütte [Kl.Böhm.]</t>
  </si>
  <si>
    <t>Einen Blick schenkst du mir [Kl.Böhm.]</t>
  </si>
  <si>
    <t>Glück auf [Kl.Böhm.]</t>
  </si>
  <si>
    <t>Himmelsthron [Kl.Böhm.]</t>
  </si>
  <si>
    <t>Veilchen-Polka [Kl.Böhm.]</t>
  </si>
  <si>
    <t>Lorete Walzer [Kl.Böhm.]</t>
  </si>
  <si>
    <t>Sidonje-Polka [Kl.Böhm.]</t>
  </si>
  <si>
    <t>Sonnenuntergang am Berg [Kl.Böhm.]</t>
  </si>
  <si>
    <t>Kinderträume [Kl.Böhm.]</t>
  </si>
  <si>
    <t>XW-611.1</t>
  </si>
  <si>
    <t>Bier Polka [Kl.Böhm.]</t>
  </si>
  <si>
    <t>XW-611.2</t>
  </si>
  <si>
    <t>XW-201.6</t>
  </si>
  <si>
    <t>ZS - Hrn/Btp. 1 in Es</t>
  </si>
  <si>
    <t>XW-202.6</t>
  </si>
  <si>
    <t>XW-203.6</t>
  </si>
  <si>
    <t>XW-101.8</t>
  </si>
  <si>
    <t>ZS - Tuba in Eb</t>
  </si>
  <si>
    <t>XW-201.7</t>
  </si>
  <si>
    <t>XW-201.8</t>
  </si>
  <si>
    <t>ZS - Hrn/Btp. 2 in Es</t>
  </si>
  <si>
    <t>XW-202.7</t>
  </si>
  <si>
    <t>XW-202.8</t>
  </si>
  <si>
    <t>XW-203.7</t>
  </si>
  <si>
    <t>XW-203.8</t>
  </si>
  <si>
    <t>XW-204.6</t>
  </si>
  <si>
    <t>XW-204.7</t>
  </si>
  <si>
    <t>XW-204.8</t>
  </si>
  <si>
    <t>XW-205.6</t>
  </si>
  <si>
    <t>XW-205.7</t>
  </si>
  <si>
    <t>XW-205.8</t>
  </si>
  <si>
    <t>XW-102.7</t>
  </si>
  <si>
    <t>XW-102.8</t>
  </si>
  <si>
    <t>XW-103.7</t>
  </si>
  <si>
    <t>XW-103.8</t>
  </si>
  <si>
    <t>XW-104.7</t>
  </si>
  <si>
    <t>XW-104.8</t>
  </si>
  <si>
    <t>XW-612.1</t>
  </si>
  <si>
    <t>Smutna Deva [Gr.Böhm.]</t>
  </si>
  <si>
    <t>XW-613.1</t>
  </si>
  <si>
    <t>XW-614.1</t>
  </si>
  <si>
    <t>XW-615.1</t>
  </si>
  <si>
    <t>XW-616.1</t>
  </si>
  <si>
    <t>XW-617.1</t>
  </si>
  <si>
    <t>XW-618.1</t>
  </si>
  <si>
    <t>XW-619.1</t>
  </si>
  <si>
    <t>XW-620.1</t>
  </si>
  <si>
    <t>6 kl. Stücke z. Umr…</t>
  </si>
  <si>
    <t>XW-621.1</t>
  </si>
  <si>
    <t>XW-621.2</t>
  </si>
  <si>
    <t>XW-621.3</t>
  </si>
  <si>
    <r>
      <t xml:space="preserve">EDITION </t>
    </r>
    <r>
      <rPr>
        <b/>
        <sz val="12"/>
        <color theme="1"/>
        <rFont val="Cambria"/>
        <family val="1"/>
      </rPr>
      <t>BÖHMISCH</t>
    </r>
  </si>
  <si>
    <t>Böhmische Literatur für Kleine Böhmische -, Große Böhmische - und Blasorchester-Besetzung</t>
  </si>
  <si>
    <t>Polka von Albert Wieder</t>
  </si>
  <si>
    <t>Walzer von Albert Wieder</t>
  </si>
  <si>
    <t>Marsch von Albert Wieder</t>
  </si>
  <si>
    <t>Traditioneller Walzer, Arr.: Albert Wieder</t>
  </si>
  <si>
    <t>Walzer von Roman Weninger</t>
  </si>
  <si>
    <t>Traditionelle Polka, Arr.: Thomas Zsivkovits</t>
  </si>
  <si>
    <t>Polka von Roman Weninger</t>
  </si>
  <si>
    <t>Im Heurigen [Gr.Böhm.]</t>
  </si>
  <si>
    <t>Im Walde [Gr.Böhm.]</t>
  </si>
  <si>
    <t>Für die Hochzeit [Gr.Böhm.]</t>
  </si>
  <si>
    <t>Milacek [Gr.Böhm.]</t>
  </si>
  <si>
    <t>Schlafe nicht  [Gr.Böhm.]</t>
  </si>
  <si>
    <t>Schöne Maderl [Gr.Böhm.]</t>
  </si>
  <si>
    <t>Tschecharanka Polka [Gr.Böhm.]</t>
  </si>
  <si>
    <t>Weinkost [Kl.Böhm.]</t>
  </si>
  <si>
    <t>Weinkost [Gr.Böhm.]</t>
  </si>
  <si>
    <t>Freunde musizieren [Gr.Böhm.]</t>
  </si>
  <si>
    <t>Polka von Peter Plank</t>
  </si>
  <si>
    <t>Polka von Roman Weninger, Arr.: Albert Wieder</t>
  </si>
  <si>
    <t>Tanz-&amp;G'stanzl #1 FTB</t>
  </si>
  <si>
    <t>Tanz-&amp;G'stanzl #1 BTB</t>
  </si>
  <si>
    <t>XW-522.08</t>
  </si>
  <si>
    <t>XW-522.09</t>
  </si>
  <si>
    <t>Tanz-&amp;G'stanzl #2 FTB</t>
  </si>
  <si>
    <t>Tanz-&amp;G'stanzl #2 BTB</t>
  </si>
  <si>
    <t>Ohrwürmer #1 FTB</t>
  </si>
  <si>
    <t>Ohrwürmer #1 BTB</t>
  </si>
  <si>
    <t>XW-512.08</t>
  </si>
  <si>
    <t>XW-512.09</t>
  </si>
  <si>
    <t>XW-512.10</t>
  </si>
  <si>
    <t>XW-522.10</t>
  </si>
  <si>
    <t>XW-502.08</t>
  </si>
  <si>
    <t>XW-502.09</t>
  </si>
  <si>
    <t>XW-502.10</t>
  </si>
  <si>
    <t>Ohrwürmer #2 FTB</t>
  </si>
  <si>
    <t>Ohrwürmer #2 BTB</t>
  </si>
  <si>
    <t>XW-541.08</t>
  </si>
  <si>
    <t>XW-541.09</t>
  </si>
  <si>
    <t>XW-541.10</t>
  </si>
  <si>
    <t>WarmUps #1 FTB</t>
  </si>
  <si>
    <t>WarmUps #1 BTB</t>
  </si>
  <si>
    <t>#1 Playalongs FTB</t>
  </si>
  <si>
    <t>XW-521.11</t>
  </si>
  <si>
    <t>#1 Playalongs BTB</t>
  </si>
  <si>
    <t>XW-522.11</t>
  </si>
  <si>
    <t>#2 Playalongs FTB</t>
  </si>
  <si>
    <t>#2 Playalongs BTB</t>
  </si>
  <si>
    <t>Ohrwürmer #1 F-TUBA</t>
  </si>
  <si>
    <t>Ohrwürmer #1 B-TUBA</t>
  </si>
  <si>
    <t>Ohrwürmer #2 F-TUBA</t>
  </si>
  <si>
    <t>Ohrwürmer #2 B-TUBA</t>
  </si>
  <si>
    <t>Tanzl &amp; G'stanzl #1 F-TUBA</t>
  </si>
  <si>
    <t>Tanzl &amp; G'stanzl #1 B-TUBA</t>
  </si>
  <si>
    <t>Tanzl &amp; G'stanzl #2 F-TUBA</t>
  </si>
  <si>
    <t>Tanzl &amp; G'stanzl #2 B-TUBA</t>
  </si>
  <si>
    <t>XW-561.01</t>
  </si>
  <si>
    <t>XW-561.02</t>
  </si>
  <si>
    <t>XW-561.03</t>
  </si>
  <si>
    <t>XW-561.04</t>
  </si>
  <si>
    <t>XW-561.05</t>
  </si>
  <si>
    <t>XW-561.06</t>
  </si>
  <si>
    <t>XW-561.07</t>
  </si>
  <si>
    <t>XW-561.08</t>
  </si>
  <si>
    <t>XW-561.09</t>
  </si>
  <si>
    <t>XW-561.10</t>
  </si>
  <si>
    <t>Umpa Umpa Umtata #1 TRP</t>
  </si>
  <si>
    <t>Umpa Umpa Umtata #1 POS</t>
  </si>
  <si>
    <t>05 MusikHeroes / Etüderln &amp; CO</t>
  </si>
  <si>
    <t>XW-571.01</t>
  </si>
  <si>
    <t>XW-571.02</t>
  </si>
  <si>
    <t>XW-571.03</t>
  </si>
  <si>
    <t>XW-571.04</t>
  </si>
  <si>
    <t>XW-571.05</t>
  </si>
  <si>
    <t>XW-571.06</t>
  </si>
  <si>
    <t>XW-571.07</t>
  </si>
  <si>
    <t>XW-571.08</t>
  </si>
  <si>
    <t>XW-571.09</t>
  </si>
  <si>
    <t>XW-571.10</t>
  </si>
  <si>
    <t>Etüderln &amp; CO #1 TRP</t>
  </si>
  <si>
    <t>Etüderln &amp; CO #1 POS</t>
  </si>
  <si>
    <t>Christkindl-Hits #1 FTB</t>
  </si>
  <si>
    <t>Christkindl-Hits #1 BTB</t>
  </si>
  <si>
    <t>BauernJazz #1 FTB</t>
  </si>
  <si>
    <t>BauernJazz #1 BTB</t>
  </si>
  <si>
    <t>Etüderln &amp; CO #1 FTB</t>
  </si>
  <si>
    <t>Etüderln &amp; CO #1 BTB</t>
  </si>
  <si>
    <t>XW-511.11</t>
  </si>
  <si>
    <t>XW-511.12</t>
  </si>
  <si>
    <t>XW-512.11</t>
  </si>
  <si>
    <t>XW-512.12</t>
  </si>
  <si>
    <t>#1 Playalongs in C</t>
  </si>
  <si>
    <t>#2 Playalongs in C</t>
  </si>
  <si>
    <t>XW-522.12</t>
  </si>
  <si>
    <t>XW-521.12</t>
  </si>
  <si>
    <t xml:space="preserve"> Christkindl-Hits</t>
  </si>
  <si>
    <t>Ohrwürmer</t>
  </si>
  <si>
    <t>Tanzl &amp; G'stanzl</t>
  </si>
  <si>
    <t>WarmUps</t>
  </si>
  <si>
    <t>BauernJazz</t>
  </si>
  <si>
    <t>XW-501.11</t>
  </si>
  <si>
    <t>XW-501.12</t>
  </si>
  <si>
    <t>XW-501.13</t>
  </si>
  <si>
    <t>#1 Zusatzstimme in B (tief)</t>
  </si>
  <si>
    <t>#1 Zusatzstimme in B (hoch)</t>
  </si>
  <si>
    <t>XW-511.13</t>
  </si>
  <si>
    <t>XW-521.13</t>
  </si>
  <si>
    <t>XW-512.13</t>
  </si>
  <si>
    <t>XW-512.14</t>
  </si>
  <si>
    <t>XW-512.15</t>
  </si>
  <si>
    <t>XW-522.13</t>
  </si>
  <si>
    <t>XW-522.14</t>
  </si>
  <si>
    <t>XW-522.15</t>
  </si>
  <si>
    <t>#2 Zusatzstimme in B (tief)</t>
  </si>
  <si>
    <t>#2 Zusatzstimme in B (hoch)</t>
  </si>
  <si>
    <t>XW-521.14</t>
  </si>
  <si>
    <t>XW-521.15</t>
  </si>
  <si>
    <t>#1 Bassl-Stimme in B</t>
  </si>
  <si>
    <t>#1 Bassl-Stimme in C</t>
  </si>
  <si>
    <t>#2 Bassl-Stimme in B</t>
  </si>
  <si>
    <t>#2 Bassl-Stimme in C</t>
  </si>
  <si>
    <t>XW-501.14</t>
  </si>
  <si>
    <t>XW-501.15</t>
  </si>
  <si>
    <t>XW-501.16</t>
  </si>
  <si>
    <t>XW-501.17</t>
  </si>
  <si>
    <t>XW-501.18</t>
  </si>
  <si>
    <t>XW-501.19</t>
  </si>
  <si>
    <t>XW-501.20</t>
  </si>
  <si>
    <t>XW-511.14</t>
  </si>
  <si>
    <t>XW-511.15</t>
  </si>
  <si>
    <t>XW-511.16</t>
  </si>
  <si>
    <t>XW-511.17</t>
  </si>
  <si>
    <t>XW-511.18</t>
  </si>
  <si>
    <t>XW-511.19</t>
  </si>
  <si>
    <t>XW-511.20</t>
  </si>
  <si>
    <t>XW-521.16</t>
  </si>
  <si>
    <t>XW-521.17</t>
  </si>
  <si>
    <t>XW-521.18</t>
  </si>
  <si>
    <t>XW-521.19</t>
  </si>
  <si>
    <t>XW-521.20</t>
  </si>
  <si>
    <t>XW-531.11</t>
  </si>
  <si>
    <t>XW-531.12</t>
  </si>
  <si>
    <t>XW-531.13</t>
  </si>
  <si>
    <t>XW-531.14</t>
  </si>
  <si>
    <t>XW-531.15</t>
  </si>
  <si>
    <t>XW-531.16</t>
  </si>
  <si>
    <t>XW-531.17</t>
  </si>
  <si>
    <t>XW-531.18</t>
  </si>
  <si>
    <t>XW-531.19</t>
  </si>
  <si>
    <t>XW-531.20</t>
  </si>
  <si>
    <t>-- FREI --</t>
  </si>
  <si>
    <t>XW-541.11</t>
  </si>
  <si>
    <t>XW-541.12</t>
  </si>
  <si>
    <t>XW-541.13</t>
  </si>
  <si>
    <t>XW-541.14</t>
  </si>
  <si>
    <t>XW-541.15</t>
  </si>
  <si>
    <t>XW-541.16</t>
  </si>
  <si>
    <t>XW-541.17</t>
  </si>
  <si>
    <t>XW-541.18</t>
  </si>
  <si>
    <t>XW-541.19</t>
  </si>
  <si>
    <t>XW-541.20</t>
  </si>
  <si>
    <t>XW-502.11</t>
  </si>
  <si>
    <t>XW-502.12</t>
  </si>
  <si>
    <t>XW-502.13</t>
  </si>
  <si>
    <t>XW-502.14</t>
  </si>
  <si>
    <t>XW-502.15</t>
  </si>
  <si>
    <t>XW-502.16</t>
  </si>
  <si>
    <t>XW-502.17</t>
  </si>
  <si>
    <t>XW-502.18</t>
  </si>
  <si>
    <t>XW-502.19</t>
  </si>
  <si>
    <t>XW-502.20</t>
  </si>
  <si>
    <t>XW-512.16</t>
  </si>
  <si>
    <t>XW-512.17</t>
  </si>
  <si>
    <t>XW-512.18</t>
  </si>
  <si>
    <t>XW-512.19</t>
  </si>
  <si>
    <t>XW-512.20</t>
  </si>
  <si>
    <t>XW-522.16</t>
  </si>
  <si>
    <t>XW-522.17</t>
  </si>
  <si>
    <t>XW-522.18</t>
  </si>
  <si>
    <t>XW-522.19</t>
  </si>
  <si>
    <t>XW-522.20</t>
  </si>
  <si>
    <t>Trag mi Wind</t>
  </si>
  <si>
    <t>Marsch der Welt</t>
  </si>
  <si>
    <t>Well Done</t>
  </si>
  <si>
    <t>Ana für's Herz</t>
  </si>
  <si>
    <t>Umpa-Umpa Umtata #1 TRP</t>
  </si>
  <si>
    <t>Umpa-Umpa Umtata #1 POS</t>
  </si>
  <si>
    <r>
      <t xml:space="preserve">Blasmusik-Standards mit Playalongs - </t>
    </r>
    <r>
      <rPr>
        <vertAlign val="subscript"/>
        <sz val="8"/>
        <color theme="1"/>
        <rFont val="Maestro"/>
        <charset val="2"/>
      </rPr>
      <t>&amp;</t>
    </r>
    <r>
      <rPr>
        <vertAlign val="subscript"/>
        <sz val="11"/>
        <color theme="1"/>
        <rFont val="Cambria"/>
        <family val="1"/>
      </rPr>
      <t xml:space="preserve"> in Bb</t>
    </r>
  </si>
  <si>
    <r>
      <t xml:space="preserve">Blasmusik-Standards mit Playalongs - </t>
    </r>
    <r>
      <rPr>
        <sz val="8"/>
        <color theme="1"/>
        <rFont val="Maestro"/>
        <charset val="2"/>
      </rPr>
      <t>?</t>
    </r>
    <r>
      <rPr>
        <vertAlign val="subscript"/>
        <sz val="11"/>
        <color theme="1"/>
        <rFont val="Cambria"/>
        <family val="1"/>
      </rPr>
      <t xml:space="preserve"> in C</t>
    </r>
  </si>
  <si>
    <t>2-3</t>
  </si>
  <si>
    <t>Komische Polka</t>
  </si>
  <si>
    <t>Auf da Brandlhütt'n</t>
  </si>
  <si>
    <t>Musette</t>
  </si>
  <si>
    <t>Cabernet Polka</t>
  </si>
  <si>
    <t>Allemanda</t>
  </si>
  <si>
    <t>XW-551.01-P</t>
  </si>
  <si>
    <t>#1 Playalongs HRN</t>
  </si>
  <si>
    <t>#2 Playalongs HRN</t>
  </si>
  <si>
    <t>XW-200</t>
  </si>
  <si>
    <t>Ersatzheft</t>
  </si>
  <si>
    <t>XW-562.01</t>
  </si>
  <si>
    <t>XW-562.02</t>
  </si>
  <si>
    <t>XW-562.03</t>
  </si>
  <si>
    <t>XW-562.04</t>
  </si>
  <si>
    <t>XW-562.05</t>
  </si>
  <si>
    <t>XW-562.06</t>
  </si>
  <si>
    <t>XW-562.07</t>
  </si>
  <si>
    <t>XW-562.08</t>
  </si>
  <si>
    <t>XW-562.09</t>
  </si>
  <si>
    <t>XW-562.10</t>
  </si>
  <si>
    <t>Umpa Umpa Umtata #2 TRP</t>
  </si>
  <si>
    <t>Umpa Umpa Umtata #2 POS</t>
  </si>
  <si>
    <t>Umpa Umpa Umtata #2 FTB</t>
  </si>
  <si>
    <t>Umpa Umpa Umtata #2 BTB</t>
  </si>
  <si>
    <t>Angeluswalzer</t>
  </si>
  <si>
    <t>Boot Ouverture</t>
  </si>
  <si>
    <t>Wenn der Abend kommt</t>
  </si>
  <si>
    <t>Brinpolka</t>
  </si>
  <si>
    <t>Beim Pfarrwirt</t>
  </si>
  <si>
    <t>Mladost Radost</t>
  </si>
  <si>
    <t>Gamsgebirg Ameriganischer</t>
  </si>
  <si>
    <t>No Ziel Walzer</t>
  </si>
  <si>
    <t>Rozhlas Marsch</t>
  </si>
  <si>
    <t>Rosamunde</t>
  </si>
  <si>
    <t>Der lustige Bua</t>
  </si>
  <si>
    <t>Die Ungewöhnliche</t>
  </si>
  <si>
    <t>Die Wapplergavotte</t>
  </si>
  <si>
    <t>Jagerner Jubelmarsch</t>
  </si>
  <si>
    <t>Mnoschil</t>
  </si>
  <si>
    <t>Fingerwärmerpolka</t>
  </si>
  <si>
    <t>Harte Hasen</t>
  </si>
  <si>
    <t>Hopfen &amp; Malser Weisenbl.</t>
  </si>
  <si>
    <t>Die Seltsame</t>
  </si>
  <si>
    <t>Connecting People</t>
  </si>
  <si>
    <t>Fetzenschädelgalopp</t>
  </si>
  <si>
    <t>Kasperlboarisch</t>
  </si>
  <si>
    <t>Tango Nr. 8</t>
  </si>
  <si>
    <t>Hansipolka</t>
  </si>
  <si>
    <t>Nils Holgersson</t>
  </si>
  <si>
    <t>Di a da &amp; Scheibendudler</t>
  </si>
  <si>
    <t>Tanzbodenboaniger</t>
  </si>
  <si>
    <t>Samba Mno Ci</t>
  </si>
  <si>
    <t>Tango</t>
  </si>
  <si>
    <t>Pavane</t>
  </si>
  <si>
    <t>Einzug der Gladiatoren</t>
  </si>
  <si>
    <t>Espana</t>
  </si>
  <si>
    <t>Der Lippenfresser</t>
  </si>
  <si>
    <t>French Kiss</t>
  </si>
  <si>
    <t>Tip Top Toe</t>
  </si>
  <si>
    <t>Fledermaus-Ouvertüre</t>
  </si>
  <si>
    <t>Ich bin der Welt abhanden gek.</t>
  </si>
  <si>
    <t>Blue</t>
  </si>
  <si>
    <t>Textilaku</t>
  </si>
  <si>
    <t>Höllenfahrtpolka</t>
  </si>
  <si>
    <t>Lagreiner Dunkelmarsch</t>
  </si>
  <si>
    <t>Kellner Polka</t>
  </si>
  <si>
    <t>Wilhelm Tell-Ouvertüre</t>
  </si>
  <si>
    <t>Als Israel noch bei Ungarn war</t>
  </si>
  <si>
    <t>Westböhmisches Krankstück</t>
  </si>
  <si>
    <t>Schwá de deux de compagnon</t>
  </si>
  <si>
    <t>Leichte Kavallerie</t>
  </si>
  <si>
    <t>Damenjagd</t>
  </si>
  <si>
    <t>Abendlied</t>
  </si>
  <si>
    <t>Alp</t>
  </si>
  <si>
    <t>Asylantenwalzer</t>
  </si>
  <si>
    <t>Der Schönfeldinger</t>
  </si>
  <si>
    <t>Es wird scho glei Umptata</t>
  </si>
  <si>
    <t>Florentiner Marsch</t>
  </si>
  <si>
    <t>XW-500.02</t>
  </si>
  <si>
    <t>Zusatzstimmen MusikHeroes</t>
  </si>
  <si>
    <t>Astronaut</t>
  </si>
  <si>
    <t>Přátelům</t>
  </si>
  <si>
    <t>Řeka Mississippi</t>
  </si>
  <si>
    <t>XW-4501</t>
  </si>
  <si>
    <t>XW-4502</t>
  </si>
  <si>
    <t>XW-4503</t>
  </si>
  <si>
    <t>XW-4504</t>
  </si>
  <si>
    <t>XW-4505</t>
  </si>
  <si>
    <t>XW-4507</t>
  </si>
  <si>
    <t>XW-4508</t>
  </si>
  <si>
    <t>XW-4509</t>
  </si>
  <si>
    <t>XW-4510</t>
  </si>
  <si>
    <t>XW-4511</t>
  </si>
  <si>
    <t>XW-4512</t>
  </si>
  <si>
    <t>XW-4513</t>
  </si>
  <si>
    <t>XW-4514</t>
  </si>
  <si>
    <t>XW-4515</t>
  </si>
  <si>
    <t>XW-4516</t>
  </si>
  <si>
    <t>XW-4517</t>
  </si>
  <si>
    <t>XW-4518</t>
  </si>
  <si>
    <t>XW-4519</t>
  </si>
  <si>
    <t>XW-4520</t>
  </si>
  <si>
    <t>XW-4521</t>
  </si>
  <si>
    <t>XW-4522</t>
  </si>
  <si>
    <t>XW-4523</t>
  </si>
  <si>
    <t>XW-4524</t>
  </si>
  <si>
    <t>XW-4525</t>
  </si>
  <si>
    <t>XW-4526</t>
  </si>
  <si>
    <t>XW-4527</t>
  </si>
  <si>
    <t>XW-4528</t>
  </si>
  <si>
    <t>XW-4529</t>
  </si>
  <si>
    <t>XW-4530</t>
  </si>
  <si>
    <t>XW-4531</t>
  </si>
  <si>
    <t>XW-4532</t>
  </si>
  <si>
    <t>XW-4533</t>
  </si>
  <si>
    <t>XW-4534</t>
  </si>
  <si>
    <t>XW-4535</t>
  </si>
  <si>
    <t>XW-4536</t>
  </si>
  <si>
    <t>XW-4537</t>
  </si>
  <si>
    <t>XW-4538</t>
  </si>
  <si>
    <t>XW-4539</t>
  </si>
  <si>
    <t>XW-4540</t>
  </si>
  <si>
    <t>XW-4541</t>
  </si>
  <si>
    <t>XW-4542</t>
  </si>
  <si>
    <t>XW-4543</t>
  </si>
  <si>
    <t>XW-4544</t>
  </si>
  <si>
    <t>XW-4545</t>
  </si>
  <si>
    <t>XW-4546</t>
  </si>
  <si>
    <t>XW-4547</t>
  </si>
  <si>
    <t>XW-4548</t>
  </si>
  <si>
    <t>XW-4549</t>
  </si>
  <si>
    <t>XW-4550</t>
  </si>
  <si>
    <t>XW-4551</t>
  </si>
  <si>
    <t>XW-4552</t>
  </si>
  <si>
    <t>XW-4553</t>
  </si>
  <si>
    <t>XW-4554</t>
  </si>
  <si>
    <t>XW-4555</t>
  </si>
  <si>
    <t>XW-4556</t>
  </si>
  <si>
    <t>XW-4557</t>
  </si>
  <si>
    <t>XW-4558</t>
  </si>
  <si>
    <t>XW-4559</t>
  </si>
  <si>
    <t>XW-4560</t>
  </si>
  <si>
    <t>XW-4561</t>
  </si>
  <si>
    <t>XW-4562</t>
  </si>
  <si>
    <t>XW-4563</t>
  </si>
  <si>
    <t>XW-4564</t>
  </si>
  <si>
    <t>XW-4565</t>
  </si>
  <si>
    <t>XW-4566</t>
  </si>
  <si>
    <t>XW-4500</t>
  </si>
  <si>
    <t>Div. Mnozil-Noten</t>
  </si>
  <si>
    <t>D'lustige Schwoagerin</t>
  </si>
  <si>
    <t>Pro Moravanku</t>
  </si>
  <si>
    <t>Sohm Polka</t>
  </si>
  <si>
    <t>Der lustige Bertl</t>
  </si>
  <si>
    <t>Fuchsgraben Polka</t>
  </si>
  <si>
    <t>Gruß an Schloss Weissenstein</t>
  </si>
  <si>
    <t>Humpa dumpa</t>
  </si>
  <si>
    <t>Hupfidbupf</t>
  </si>
  <si>
    <t>Komm in die Krone</t>
  </si>
  <si>
    <t>XW-4567</t>
  </si>
  <si>
    <t>XW-4568</t>
  </si>
  <si>
    <t>XW-4569</t>
  </si>
  <si>
    <t>XW-4570</t>
  </si>
  <si>
    <t>XW-4571</t>
  </si>
  <si>
    <t>XW-4572</t>
  </si>
  <si>
    <t>XW-4573</t>
  </si>
  <si>
    <t>XW-4574</t>
  </si>
  <si>
    <t>XW-4575</t>
  </si>
  <si>
    <t>Maiglöckerlmazur</t>
  </si>
  <si>
    <t>Maria durch ein Dornwald ging</t>
  </si>
  <si>
    <t>Monzil</t>
  </si>
  <si>
    <t>Moonriver</t>
  </si>
  <si>
    <t>Mürztalermarsch</t>
  </si>
  <si>
    <t>Nagelschmiedpolka</t>
  </si>
  <si>
    <t>Pippi Langstrumpf</t>
  </si>
  <si>
    <t>Praeludium Nr. 22</t>
  </si>
  <si>
    <t>Riserva</t>
  </si>
  <si>
    <t>Schostipolka</t>
  </si>
  <si>
    <t>Tico-Tico</t>
  </si>
  <si>
    <t>XW-4576</t>
  </si>
  <si>
    <t>XW-4577</t>
  </si>
  <si>
    <t>XW-4578</t>
  </si>
  <si>
    <t>XW-4579</t>
  </si>
  <si>
    <t>XW-4580</t>
  </si>
  <si>
    <t>XW-4581</t>
  </si>
  <si>
    <t>XW-4582</t>
  </si>
  <si>
    <t>XW-4583</t>
  </si>
  <si>
    <t>Tired Bones</t>
  </si>
  <si>
    <t>Das Traummännlein kommt</t>
  </si>
  <si>
    <t>Trompetenpolka</t>
  </si>
  <si>
    <t>Unterwegs</t>
  </si>
  <si>
    <t>Vielen Dank für die Blumen</t>
  </si>
  <si>
    <t>Neualtlerchenfelder</t>
  </si>
  <si>
    <t>XW-468</t>
  </si>
  <si>
    <t>XW-469</t>
  </si>
  <si>
    <t>XW-470</t>
  </si>
  <si>
    <t>XW-471</t>
  </si>
  <si>
    <t>XW-472</t>
  </si>
  <si>
    <t>XW-473</t>
  </si>
  <si>
    <t>XW-474</t>
  </si>
  <si>
    <t>XW-475</t>
  </si>
  <si>
    <t>XW-476</t>
  </si>
  <si>
    <t>XW-477</t>
  </si>
  <si>
    <t>XW-478</t>
  </si>
  <si>
    <t>XW-479</t>
  </si>
  <si>
    <t>04  CDs</t>
  </si>
  <si>
    <t>04  Noten ff</t>
  </si>
  <si>
    <t>XW-6000</t>
  </si>
  <si>
    <t>XW-6001</t>
  </si>
  <si>
    <t>XW-6002</t>
  </si>
  <si>
    <t>XW-6003</t>
  </si>
  <si>
    <t>XW-6004</t>
  </si>
  <si>
    <t>XW-6005</t>
  </si>
  <si>
    <t>XW-6006</t>
  </si>
  <si>
    <t>XW-6007</t>
  </si>
  <si>
    <t>XW-6008</t>
  </si>
  <si>
    <t>XW-6009</t>
  </si>
  <si>
    <t>XW-6010</t>
  </si>
  <si>
    <t>XW-6011</t>
  </si>
  <si>
    <t>XW-6012</t>
  </si>
  <si>
    <t>XW-6013</t>
  </si>
  <si>
    <t>XW-6014</t>
  </si>
  <si>
    <t>XW-6015</t>
  </si>
  <si>
    <t>XW-6016</t>
  </si>
  <si>
    <t>XW-6017</t>
  </si>
  <si>
    <t>XW-6018</t>
  </si>
  <si>
    <t>XW-6019</t>
  </si>
  <si>
    <t>XW-6020</t>
  </si>
  <si>
    <t>XW-6021</t>
  </si>
  <si>
    <t>XW-6022</t>
  </si>
  <si>
    <t>XW-6023</t>
  </si>
  <si>
    <t>XW-6024</t>
  </si>
  <si>
    <t>XW-6025</t>
  </si>
  <si>
    <t>XW-6026</t>
  </si>
  <si>
    <t>XW-6401</t>
  </si>
  <si>
    <t>Art.-Nr.</t>
  </si>
  <si>
    <t>XW-4506.1</t>
  </si>
  <si>
    <t>XW-4506.2</t>
  </si>
  <si>
    <t>Hungarische Schnapsodie 7tett</t>
  </si>
  <si>
    <t>Hungarische Schnapsodie 5tett</t>
  </si>
  <si>
    <t>#1 Zusatzstimme in F</t>
  </si>
  <si>
    <t>UUU#1 FTB</t>
  </si>
  <si>
    <t>UUU#1 BTB</t>
  </si>
  <si>
    <t>XW-561.11</t>
  </si>
  <si>
    <t>XW-561.12</t>
  </si>
  <si>
    <t>XW-561.13</t>
  </si>
  <si>
    <t>XW-561.14</t>
  </si>
  <si>
    <t>XW-561.15</t>
  </si>
  <si>
    <t>XW-561.16</t>
  </si>
  <si>
    <t>XW-561.17</t>
  </si>
  <si>
    <t>#1 Zusatzstimme in C [BS]</t>
  </si>
  <si>
    <t>XW-562.11</t>
  </si>
  <si>
    <t>XW-562.12</t>
  </si>
  <si>
    <t>XW-562.13</t>
  </si>
  <si>
    <t>#2 Zusatzstimme in C [BS]</t>
  </si>
  <si>
    <t>XW-562.14</t>
  </si>
  <si>
    <t>#2 Zusatzstimme in F</t>
  </si>
  <si>
    <t>Kleine Besetzung</t>
  </si>
  <si>
    <t>Böhmische Besetzung</t>
  </si>
  <si>
    <t>Blasmusik Supergroup</t>
  </si>
  <si>
    <t>Sinfonisches Blasorchester</t>
  </si>
  <si>
    <t>06 Blasmusik-Edition</t>
  </si>
  <si>
    <t>XW-6201</t>
  </si>
  <si>
    <t>XW-6202</t>
  </si>
  <si>
    <t>XW-6203</t>
  </si>
  <si>
    <t>XW-6204</t>
  </si>
  <si>
    <t>XW-6205</t>
  </si>
  <si>
    <t>XW-6206</t>
  </si>
  <si>
    <t>XW-6207</t>
  </si>
  <si>
    <t>XW-6208</t>
  </si>
  <si>
    <t>XW-6209</t>
  </si>
  <si>
    <t>XW-6210</t>
  </si>
  <si>
    <t>XW-6211</t>
  </si>
  <si>
    <t>XW-6212</t>
  </si>
  <si>
    <t>XW-6213</t>
  </si>
  <si>
    <t>XW-6214</t>
  </si>
  <si>
    <t>XW-6215</t>
  </si>
  <si>
    <t>XW-6216</t>
  </si>
  <si>
    <t>XW-6217</t>
  </si>
  <si>
    <t>XW-6218</t>
  </si>
  <si>
    <t>XW-6219</t>
  </si>
  <si>
    <t>XW-6220</t>
  </si>
  <si>
    <t>XW-6221</t>
  </si>
  <si>
    <t>XW-6402</t>
  </si>
  <si>
    <t>XW-6403</t>
  </si>
  <si>
    <t>XW-6404</t>
  </si>
  <si>
    <t>XW-6405</t>
  </si>
  <si>
    <t>XW-6406</t>
  </si>
  <si>
    <t>XW-6407</t>
  </si>
  <si>
    <t>XW-6408</t>
  </si>
  <si>
    <t>XW-6409</t>
  </si>
  <si>
    <t>XW-6410</t>
  </si>
  <si>
    <t>XW-6411</t>
  </si>
  <si>
    <t>XW-6412</t>
  </si>
  <si>
    <t>XW-6413</t>
  </si>
  <si>
    <t>XW-6414</t>
  </si>
  <si>
    <t>XW-6415</t>
  </si>
  <si>
    <t>XW-6416</t>
  </si>
  <si>
    <t>XW-6417</t>
  </si>
  <si>
    <t>XW-6418</t>
  </si>
  <si>
    <t>XW-6419</t>
  </si>
  <si>
    <t>XW-6420</t>
  </si>
  <si>
    <t>XW-6421</t>
  </si>
  <si>
    <t>XW-6601</t>
  </si>
  <si>
    <t>XW-6602</t>
  </si>
  <si>
    <t>XW-6603</t>
  </si>
  <si>
    <t>XW-6604</t>
  </si>
  <si>
    <t>XW-6605</t>
  </si>
  <si>
    <t>XW-6606</t>
  </si>
  <si>
    <t>XW-6607</t>
  </si>
  <si>
    <t>XW-6608</t>
  </si>
  <si>
    <t>XW-6609</t>
  </si>
  <si>
    <t>XW-6610</t>
  </si>
  <si>
    <t>XW-6611</t>
  </si>
  <si>
    <t>XW-6612</t>
  </si>
  <si>
    <t>XW-6613</t>
  </si>
  <si>
    <t>XW-6614</t>
  </si>
  <si>
    <t>XW-6615</t>
  </si>
  <si>
    <t>XW-6616</t>
  </si>
  <si>
    <t>XW-6617</t>
  </si>
  <si>
    <t>XW-6618</t>
  </si>
  <si>
    <t>XW-6619</t>
  </si>
  <si>
    <t>XW-6620</t>
  </si>
  <si>
    <t>XW-6621</t>
  </si>
  <si>
    <t>XW-6801</t>
  </si>
  <si>
    <t>XW-6802</t>
  </si>
  <si>
    <t>XW-6803</t>
  </si>
  <si>
    <t>XW-6804</t>
  </si>
  <si>
    <t>XW-6805</t>
  </si>
  <si>
    <t>XW-6806</t>
  </si>
  <si>
    <t>XW-6807</t>
  </si>
  <si>
    <t>XW-6808</t>
  </si>
  <si>
    <t>XW-6809</t>
  </si>
  <si>
    <t>XW-6810</t>
  </si>
  <si>
    <t>XW-6811</t>
  </si>
  <si>
    <t>XW-6812</t>
  </si>
  <si>
    <t>XW-6813</t>
  </si>
  <si>
    <t>XW-6814</t>
  </si>
  <si>
    <t>XW-6815</t>
  </si>
  <si>
    <t>XW-6816</t>
  </si>
  <si>
    <t>XW-6817</t>
  </si>
  <si>
    <t>XW-6818</t>
  </si>
  <si>
    <t>XW-6819</t>
  </si>
  <si>
    <t>XW-6820</t>
  </si>
  <si>
    <t>XW-6821</t>
  </si>
  <si>
    <t>Div. Noten Kleine Besetzung</t>
  </si>
  <si>
    <t>XW-6200</t>
  </si>
  <si>
    <t>XW-6400</t>
  </si>
  <si>
    <t>XW-6600</t>
  </si>
  <si>
    <t>XW-6800</t>
  </si>
  <si>
    <t>Div. Noten Supergroup</t>
  </si>
  <si>
    <t>Div. Noten Musikkapelle</t>
  </si>
  <si>
    <t>Div. Noten Sinf. Blasorchester</t>
  </si>
  <si>
    <t xml:space="preserve">Die Waldhütte </t>
  </si>
  <si>
    <t xml:space="preserve">Einen Blick schenkst du mir </t>
  </si>
  <si>
    <t xml:space="preserve">Glück auf </t>
  </si>
  <si>
    <t xml:space="preserve">Himmelsthron </t>
  </si>
  <si>
    <t xml:space="preserve">Veilchen-Polka </t>
  </si>
  <si>
    <t xml:space="preserve">Lorete Walzer </t>
  </si>
  <si>
    <t xml:space="preserve">Sidonje-Polka </t>
  </si>
  <si>
    <t xml:space="preserve">Sonnenuntergang am Berg </t>
  </si>
  <si>
    <t xml:space="preserve">Kinderträume </t>
  </si>
  <si>
    <t xml:space="preserve">Bier Polka </t>
  </si>
  <si>
    <t>Weinkost</t>
  </si>
  <si>
    <t xml:space="preserve">Smutna Deva </t>
  </si>
  <si>
    <t xml:space="preserve">Neverna Milenka </t>
  </si>
  <si>
    <t xml:space="preserve">Für die Hochzeit </t>
  </si>
  <si>
    <t xml:space="preserve">Schlafe nicht  </t>
  </si>
  <si>
    <t xml:space="preserve">Schöne Maderl </t>
  </si>
  <si>
    <t xml:space="preserve">Tschecharanka Polka </t>
  </si>
  <si>
    <t xml:space="preserve">Freunde musizieren </t>
  </si>
  <si>
    <t xml:space="preserve">Milacek </t>
  </si>
  <si>
    <t xml:space="preserve">Im Heurigen </t>
  </si>
  <si>
    <t xml:space="preserve">Im Walde </t>
  </si>
  <si>
    <t>Div. Noten Böhm. Besetzung</t>
  </si>
  <si>
    <t>Amor's Tanz</t>
  </si>
  <si>
    <t>XW-561.03-P</t>
  </si>
  <si>
    <t>XW-562.03-P</t>
  </si>
  <si>
    <t>XW-501.03-P</t>
  </si>
  <si>
    <t>XW-501.04-P</t>
  </si>
  <si>
    <t>BAND 2</t>
  </si>
  <si>
    <t>BAND 1</t>
  </si>
  <si>
    <t>XW-501.05-P</t>
  </si>
  <si>
    <t>XW-521.03-P</t>
  </si>
  <si>
    <t>XW-521.04-P</t>
  </si>
  <si>
    <t>XW-521.05-P</t>
  </si>
  <si>
    <t>#1 Zusatzstimme in B (tief) 🖨️</t>
  </si>
  <si>
    <t>#1 Zusatzstimme in C 🖨️</t>
  </si>
  <si>
    <t>#1 Begleitstimme in C 🖨️</t>
  </si>
  <si>
    <t>#2 Zusatzstimme in B (tief) 🖨️</t>
  </si>
  <si>
    <t>#2 Zusatzstimme in C 🖨️</t>
  </si>
  <si>
    <t>#2 Begleitstimme in C 🖨️</t>
  </si>
  <si>
    <t>#2 Zusatzstimme in B (hoch) 🖨️</t>
  </si>
  <si>
    <t>XW-522.03-P</t>
  </si>
  <si>
    <t>XW-522.04-P</t>
  </si>
  <si>
    <t>XW-522.05-P</t>
  </si>
  <si>
    <t>XW-522.13-P</t>
  </si>
  <si>
    <t>#1 Zusatzstimme in B (hoch)  🖨️</t>
  </si>
  <si>
    <t>XW-511.03-P</t>
  </si>
  <si>
    <t>XW-511.04-P</t>
  </si>
  <si>
    <t>XW-511.05-P</t>
  </si>
  <si>
    <t>XW-511.13-P</t>
  </si>
  <si>
    <t>XW-521.13-P</t>
  </si>
  <si>
    <t>#1 Zusatzstimme in B (hoch) 🖨️</t>
  </si>
  <si>
    <t>XW-501.13-P</t>
  </si>
  <si>
    <t>XW-512.03-P</t>
  </si>
  <si>
    <t>XW-512.04-P</t>
  </si>
  <si>
    <t>XW-512.05-P</t>
  </si>
  <si>
    <t>XW-512.13-P</t>
  </si>
  <si>
    <t>#1 Zusatzstimme in C [BS] 🖨️</t>
  </si>
  <si>
    <t>XW-561.04-P</t>
  </si>
  <si>
    <t>XW-561.05-P</t>
  </si>
  <si>
    <t>XW-561.13-P</t>
  </si>
  <si>
    <t>-</t>
  </si>
  <si>
    <t>#2 Zusatzstimme in C [BS] 🖨️</t>
  </si>
  <si>
    <t>56X - Umpa Umpa Umtata</t>
  </si>
  <si>
    <t>#1 Zusatzstimme in F 🖨️</t>
  </si>
  <si>
    <t>XW-561.14-P</t>
  </si>
  <si>
    <t>#2 Zusatzstimme in F 🖨️</t>
  </si>
  <si>
    <t>XW-562.13-P</t>
  </si>
  <si>
    <t>XW-562.14-P</t>
  </si>
  <si>
    <t>XW-562.04-P</t>
  </si>
  <si>
    <t>XW-4080</t>
  </si>
  <si>
    <t>XW-4081</t>
  </si>
  <si>
    <t>XW-4082</t>
  </si>
  <si>
    <t>XW-4083</t>
  </si>
  <si>
    <t>XW-4084</t>
  </si>
  <si>
    <t>XW-4085</t>
  </si>
  <si>
    <t>XW-4086</t>
  </si>
  <si>
    <t>XW-4087</t>
  </si>
  <si>
    <t>XW-4088</t>
  </si>
  <si>
    <t>XW-4089</t>
  </si>
  <si>
    <t>XW-4090</t>
  </si>
  <si>
    <t>XW-4091</t>
  </si>
  <si>
    <t>XW-4092</t>
  </si>
  <si>
    <t>XW-4093</t>
  </si>
  <si>
    <t>XW-4094</t>
  </si>
  <si>
    <t>XW-4095</t>
  </si>
  <si>
    <t>XW-4096</t>
  </si>
  <si>
    <t>Bohemy Bawarian</t>
  </si>
  <si>
    <t>Jalapeno</t>
  </si>
  <si>
    <t>Einzelstücke</t>
  </si>
  <si>
    <t>He Lippei</t>
  </si>
  <si>
    <t>Kaserstatt</t>
  </si>
  <si>
    <t>XW-1200</t>
  </si>
  <si>
    <t>XW-1201</t>
  </si>
  <si>
    <t>XW-1202</t>
  </si>
  <si>
    <t>XW-1203</t>
  </si>
  <si>
    <t>XW-1204</t>
  </si>
  <si>
    <t>XW-1205</t>
  </si>
  <si>
    <t>XW-1206</t>
  </si>
  <si>
    <t>XW-1207</t>
  </si>
  <si>
    <t>XW-1208</t>
  </si>
  <si>
    <t>XW-1209</t>
  </si>
  <si>
    <t>XW-4584</t>
  </si>
  <si>
    <t>XW-4585</t>
  </si>
  <si>
    <t>XW-4586</t>
  </si>
  <si>
    <t>XW-4587</t>
  </si>
  <si>
    <t>XW-4588</t>
  </si>
  <si>
    <t>XW-4589</t>
  </si>
  <si>
    <t>XW-4590</t>
  </si>
  <si>
    <t>XW-4591</t>
  </si>
  <si>
    <t>XW-4592</t>
  </si>
  <si>
    <t>XW-4593</t>
  </si>
  <si>
    <t>XW-4594</t>
  </si>
  <si>
    <t>XW-4595</t>
  </si>
  <si>
    <t>XW-4596</t>
  </si>
  <si>
    <t>XW-4597</t>
  </si>
  <si>
    <t>Petit mari, petite femme</t>
  </si>
  <si>
    <t>Country Madness</t>
  </si>
  <si>
    <t>Tinny Kisses</t>
  </si>
  <si>
    <t>Valse triste</t>
  </si>
  <si>
    <t>Da Lisi z'Ehr</t>
  </si>
  <si>
    <t>Schitouren Polka</t>
  </si>
  <si>
    <t>XW-500.05</t>
  </si>
  <si>
    <t>Diverse MusikHeroes-Editionen</t>
  </si>
  <si>
    <t>Trompete</t>
  </si>
  <si>
    <t>Posaune</t>
  </si>
  <si>
    <t>F-Tuba</t>
  </si>
  <si>
    <t>B-Tuba</t>
  </si>
  <si>
    <t>Umpa-Umpa Umtata #2 TRP</t>
  </si>
  <si>
    <t>Umpa-Umpa Umtata #2 POS</t>
  </si>
  <si>
    <t>da Blechhauf'n</t>
  </si>
  <si>
    <t>Die Waldhütte [Trad. Blasorch.]</t>
  </si>
  <si>
    <t>Einen Blick schenkst du mir [Trad. Blasorch.]</t>
  </si>
  <si>
    <t>Glück auf [Trad. Blasorch.]</t>
  </si>
  <si>
    <t>Himmelsthron [Trad. Blasorch.]</t>
  </si>
  <si>
    <t>Veilchen-Polka [Trad. Blasorch.]</t>
  </si>
  <si>
    <t>Lorete Walzer [Trad. Blasorch.]</t>
  </si>
  <si>
    <t>Sidonje-Polka [Trad. Blasorch.]</t>
  </si>
  <si>
    <t>Sonnenuntergang am Berg [Trad. Blasorch.]</t>
  </si>
  <si>
    <t>Bier Polka [Trad. Blasorch.]</t>
  </si>
  <si>
    <t>Weinkost [Trad. Blasorch.]</t>
  </si>
  <si>
    <t>€</t>
  </si>
  <si>
    <t>Brandlalm Boarischer</t>
  </si>
  <si>
    <t>Song for Julia</t>
  </si>
  <si>
    <t>Musikkapelle</t>
  </si>
  <si>
    <t>Himmelsthron</t>
  </si>
  <si>
    <t>Bier Polka</t>
  </si>
  <si>
    <t>XW-4000</t>
  </si>
  <si>
    <t>XW-4001</t>
  </si>
  <si>
    <t>XW-4002</t>
  </si>
  <si>
    <t>XW-4003</t>
  </si>
  <si>
    <t>XW-4004</t>
  </si>
  <si>
    <t>XW-4005</t>
  </si>
  <si>
    <t>XW-4006</t>
  </si>
  <si>
    <t>XW-4007</t>
  </si>
  <si>
    <t>XW-4008</t>
  </si>
  <si>
    <t>XW-4009</t>
  </si>
  <si>
    <t>XW-4010</t>
  </si>
  <si>
    <t>XW-4011</t>
  </si>
  <si>
    <t>XW-4012</t>
  </si>
  <si>
    <t>XW-4013</t>
  </si>
  <si>
    <t>XW-4014</t>
  </si>
  <si>
    <t>XW-4015</t>
  </si>
  <si>
    <t>XW-4016</t>
  </si>
  <si>
    <t>XW-4017</t>
  </si>
  <si>
    <t>XW-4018</t>
  </si>
  <si>
    <t>XW-4019</t>
  </si>
  <si>
    <t>XW-4020</t>
  </si>
  <si>
    <t>XW-4021</t>
  </si>
  <si>
    <t>XW-4022</t>
  </si>
  <si>
    <t>XW-4023</t>
  </si>
  <si>
    <t>XW-4024</t>
  </si>
  <si>
    <t>XW-4025</t>
  </si>
  <si>
    <t>XW-4026</t>
  </si>
  <si>
    <t>XW-4027</t>
  </si>
  <si>
    <t>XW-4028</t>
  </si>
  <si>
    <t>XW-4029</t>
  </si>
  <si>
    <t>XW-4030</t>
  </si>
  <si>
    <t>XW-4031</t>
  </si>
  <si>
    <t>XW-4032</t>
  </si>
  <si>
    <t>XW-4033</t>
  </si>
  <si>
    <t>XW-4034</t>
  </si>
  <si>
    <t>XW-4035</t>
  </si>
  <si>
    <t>XW-4036</t>
  </si>
  <si>
    <t>XW-4037</t>
  </si>
  <si>
    <t>XW-4038</t>
  </si>
  <si>
    <t>XW-4039</t>
  </si>
  <si>
    <t>XW-4040</t>
  </si>
  <si>
    <t>XW-4041</t>
  </si>
  <si>
    <t>XW-4042</t>
  </si>
  <si>
    <t>XW-4043</t>
  </si>
  <si>
    <t>XW-4044</t>
  </si>
  <si>
    <t>XW-4045</t>
  </si>
  <si>
    <t>XW-4046</t>
  </si>
  <si>
    <t>XW-4047</t>
  </si>
  <si>
    <t>XW-4048</t>
  </si>
  <si>
    <t>XW-4049</t>
  </si>
  <si>
    <t>XW-4050</t>
  </si>
  <si>
    <t>XW-4051</t>
  </si>
  <si>
    <t>XW-4052</t>
  </si>
  <si>
    <t>XW-4053</t>
  </si>
  <si>
    <t>XW-4054</t>
  </si>
  <si>
    <t>XW-4055</t>
  </si>
  <si>
    <t>XW-4056</t>
  </si>
  <si>
    <t>XW-4057</t>
  </si>
  <si>
    <t>XW-4058</t>
  </si>
  <si>
    <t>XW-4059</t>
  </si>
  <si>
    <t>XW-4060</t>
  </si>
  <si>
    <t>XW-4061</t>
  </si>
  <si>
    <t>XW-4062</t>
  </si>
  <si>
    <t>XW-4063</t>
  </si>
  <si>
    <t>XW-4064</t>
  </si>
  <si>
    <t>XW-4065</t>
  </si>
  <si>
    <t>XW-4066</t>
  </si>
  <si>
    <t>XW-4067</t>
  </si>
  <si>
    <t>XW-4068</t>
  </si>
  <si>
    <t>XW-4069</t>
  </si>
  <si>
    <t>XW-4070</t>
  </si>
  <si>
    <t>XW-4071</t>
  </si>
  <si>
    <t>XW-4072</t>
  </si>
  <si>
    <t>XW-4073</t>
  </si>
  <si>
    <t>XW-4074</t>
  </si>
  <si>
    <t>XW-4075</t>
  </si>
  <si>
    <t>XW-4076</t>
  </si>
  <si>
    <t>XW-4077</t>
  </si>
  <si>
    <t>XW-4078</t>
  </si>
  <si>
    <t>XW-4079</t>
  </si>
  <si>
    <t>XW-7001</t>
  </si>
  <si>
    <t>XW-7002</t>
  </si>
  <si>
    <t>XW-7003</t>
  </si>
  <si>
    <t>XW-7004</t>
  </si>
  <si>
    <t>XW-7005</t>
  </si>
  <si>
    <t>XW-7006</t>
  </si>
  <si>
    <t>XW-7007</t>
  </si>
  <si>
    <t>XW-7008</t>
  </si>
  <si>
    <t>XW-7009</t>
  </si>
  <si>
    <t>XW-7010</t>
  </si>
  <si>
    <t>Auffi muas i</t>
  </si>
  <si>
    <t>BH-Polka</t>
  </si>
  <si>
    <t>Sidonje Polka</t>
  </si>
  <si>
    <t>Morgenrot</t>
  </si>
  <si>
    <t>Bier-Polka</t>
  </si>
  <si>
    <t>Lorete Walzer</t>
  </si>
  <si>
    <t>Freddie's Hymn</t>
  </si>
  <si>
    <t>Smutna Milenka</t>
  </si>
  <si>
    <t>07 Diverse Blechbesetzungen</t>
  </si>
  <si>
    <t>XW-510.07</t>
  </si>
  <si>
    <t>StarterKit B-Tuba [TIEF]</t>
  </si>
  <si>
    <t>XW-510.08</t>
  </si>
  <si>
    <t>StarterKit B-Tuba [HOCH]</t>
  </si>
  <si>
    <t>XW-510.05</t>
  </si>
  <si>
    <t>XW-510.06</t>
  </si>
  <si>
    <t>StarterKit F-Tuba [TIEF]</t>
  </si>
  <si>
    <t>StarterKit F-Tuba [HOCH]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</si>
</sst>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8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sz val="8"/>
      <color theme="1"/>
      <name val="Maestro"/>
      <charset val="2"/>
    </font>
    <font>
      <sz val="8"/>
      <color theme="1"/>
      <name val="Cambria"/>
      <family val="1"/>
    </font>
    <font>
      <b/>
      <sz val="7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vertAlign val="subscript"/>
      <sz val="11"/>
      <color theme="1"/>
      <name val="Cambria"/>
      <family val="1"/>
    </font>
    <font>
      <vertAlign val="subscript"/>
      <sz val="8"/>
      <color theme="1"/>
      <name val="Maestro"/>
      <charset val="2"/>
    </font>
    <font>
      <sz val="7"/>
      <color theme="0"/>
      <name val="Cambria"/>
      <family val="1"/>
    </font>
    <font>
      <i/>
      <sz val="7"/>
      <color theme="1"/>
      <name val="Cambria"/>
      <family val="1"/>
    </font>
    <font>
      <sz val="8"/>
      <color theme="1" tint="0.499984740745262"/>
      <name val="Cambria"/>
      <family val="1"/>
    </font>
    <font>
      <sz val="5"/>
      <color theme="1"/>
      <name val="Cambria"/>
      <family val="1"/>
    </font>
    <font>
      <sz val="9"/>
      <color theme="1"/>
      <name val="Cambria"/>
      <family val="1"/>
    </font>
    <font>
      <sz val="8"/>
      <color theme="1" tint="0.499984740745262"/>
      <name val="Calibri"/>
      <family val="2"/>
      <scheme val="minor"/>
    </font>
    <font>
      <sz val="8"/>
      <name val="Cambri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Cambria"/>
      <family val="1"/>
    </font>
    <font>
      <sz val="9"/>
      <color theme="1" tint="0.34998626667073579"/>
      <name val="Cambria"/>
      <family val="1"/>
    </font>
    <font>
      <sz val="10"/>
      <color theme="1" tint="0.499984740745262"/>
      <name val="Cambria"/>
      <family val="1"/>
    </font>
    <font>
      <u/>
      <sz val="10"/>
      <color theme="1" tint="0.499984740745262"/>
      <name val="Cambria"/>
      <family val="1"/>
    </font>
    <font>
      <b/>
      <sz val="10"/>
      <color theme="1" tint="0.499984740745262"/>
      <name val="Cambria"/>
      <family val="1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1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9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horizontal="left" vertical="center"/>
    </xf>
    <xf numFmtId="164" fontId="5" fillId="4" borderId="2" xfId="0" applyNumberFormat="1" applyFont="1" applyFill="1" applyBorder="1" applyAlignment="1">
      <alignment vertical="center"/>
    </xf>
    <xf numFmtId="164" fontId="5" fillId="4" borderId="3" xfId="0" applyNumberFormat="1" applyFont="1" applyFill="1" applyBorder="1" applyAlignment="1">
      <alignment vertical="center"/>
    </xf>
    <xf numFmtId="164" fontId="5" fillId="0" borderId="2" xfId="0" applyNumberFormat="1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4" fillId="3" borderId="1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164" fontId="14" fillId="3" borderId="2" xfId="0" applyNumberFormat="1" applyFont="1" applyFill="1" applyBorder="1" applyAlignment="1">
      <alignment horizontal="right" vertical="center" wrapText="1"/>
    </xf>
    <xf numFmtId="0" fontId="14" fillId="3" borderId="3" xfId="0" applyFont="1" applyFill="1" applyBorder="1" applyAlignment="1">
      <alignment horizontal="right" vertical="center"/>
    </xf>
    <xf numFmtId="0" fontId="15" fillId="0" borderId="0" xfId="0" applyFont="1" applyAlignment="1">
      <alignment vertical="center"/>
    </xf>
    <xf numFmtId="9" fontId="17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6" fillId="0" borderId="0" xfId="0" applyFont="1"/>
    <xf numFmtId="0" fontId="19" fillId="0" borderId="0" xfId="0" applyFont="1"/>
    <xf numFmtId="0" fontId="20" fillId="5" borderId="0" xfId="0" applyFont="1" applyFill="1"/>
    <xf numFmtId="0" fontId="18" fillId="0" borderId="0" xfId="0" applyFont="1" applyAlignment="1">
      <alignment horizontal="left"/>
    </xf>
    <xf numFmtId="1" fontId="18" fillId="0" borderId="0" xfId="0" applyNumberFormat="1" applyFont="1" applyAlignment="1">
      <alignment horizontal="left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6" fillId="0" borderId="0" xfId="0" quotePrefix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23" fillId="0" borderId="0" xfId="0" applyFont="1" applyAlignment="1">
      <alignment vertical="center"/>
    </xf>
    <xf numFmtId="20" fontId="23" fillId="0" borderId="0" xfId="0" quotePrefix="1" applyNumberFormat="1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indent="1"/>
    </xf>
    <xf numFmtId="0" fontId="4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/>
    <xf numFmtId="0" fontId="1" fillId="0" borderId="0" xfId="0" applyFont="1" applyAlignment="1">
      <alignment horizontal="right"/>
    </xf>
    <xf numFmtId="0" fontId="5" fillId="4" borderId="2" xfId="0" quotePrefix="1" applyFont="1" applyFill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1" fillId="5" borderId="0" xfId="0" applyFont="1" applyFill="1"/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3" borderId="0" xfId="0" applyFont="1" applyFill="1"/>
    <xf numFmtId="164" fontId="1" fillId="0" borderId="0" xfId="0" applyNumberFormat="1" applyFont="1"/>
    <xf numFmtId="164" fontId="27" fillId="2" borderId="0" xfId="0" applyNumberFormat="1" applyFont="1" applyFill="1" applyAlignment="1">
      <alignment horizontal="center" vertical="center"/>
    </xf>
    <xf numFmtId="164" fontId="30" fillId="3" borderId="0" xfId="0" applyNumberFormat="1" applyFont="1" applyFill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164" fontId="0" fillId="0" borderId="5" xfId="0" applyNumberFormat="1" applyBorder="1"/>
    <xf numFmtId="0" fontId="30" fillId="3" borderId="0" xfId="0" applyFont="1" applyFill="1" applyAlignment="1">
      <alignment horizontal="center"/>
    </xf>
    <xf numFmtId="164" fontId="30" fillId="3" borderId="0" xfId="0" applyNumberFormat="1" applyFont="1" applyFill="1" applyAlignment="1">
      <alignment horizontal="center"/>
    </xf>
    <xf numFmtId="0" fontId="8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5" fillId="0" borderId="4" xfId="0" applyNumberFormat="1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164" fontId="2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9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598154</xdr:colOff>
      <xdr:row>139</xdr:row>
      <xdr:rowOff>29194</xdr:rowOff>
    </xdr:from>
    <xdr:to>
      <xdr:col>2</xdr:col>
      <xdr:colOff>2015718</xdr:colOff>
      <xdr:row>147</xdr:row>
      <xdr:rowOff>136769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C8D287C5-9278-4155-A62E-40E570D246B1}"/>
            </a:ext>
          </a:extLst>
        </xdr:cNvPr>
        <xdr:cNvSpPr txBox="1"/>
      </xdr:nvSpPr>
      <xdr:spPr>
        <a:xfrm>
          <a:off x="1190821" y="15353861"/>
          <a:ext cx="3309538" cy="14882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AT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Stand: </a:t>
          </a:r>
          <a:r>
            <a:rPr lang="de-AT" sz="1100" b="1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02.09.2023 / </a:t>
          </a:r>
          <a:r>
            <a:rPr lang="de-AT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Änderungen vorbehalten.</a:t>
          </a:r>
          <a:r>
            <a:rPr lang="de-AT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rPr>
            <a:t> </a:t>
          </a:r>
        </a:p>
        <a:p>
          <a:pPr algn="ctr"/>
          <a:endParaRPr lang="de-AT" sz="1100" b="0" i="0" u="sng" strike="noStrike">
            <a:solidFill>
              <a:schemeClr val="tx1">
                <a:lumMod val="65000"/>
                <a:lumOff val="35000"/>
              </a:schemeClr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algn="ctr"/>
          <a:r>
            <a:rPr lang="de-AT" sz="1100" b="0" i="0" u="sng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Kontakt</a:t>
          </a:r>
          <a:endParaRPr lang="de-AT" sz="1100" b="0" i="0" u="none" strike="noStrike">
            <a:solidFill>
              <a:schemeClr val="tx1">
                <a:lumMod val="65000"/>
                <a:lumOff val="35000"/>
              </a:schemeClr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algn="ctr"/>
          <a:r>
            <a:rPr lang="de-AT" sz="1100" b="1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XeisWorks</a:t>
          </a:r>
          <a:endParaRPr lang="de-AT" sz="1100" b="0" i="0" u="none" strike="noStrike">
            <a:solidFill>
              <a:schemeClr val="tx1">
                <a:lumMod val="65000"/>
                <a:lumOff val="35000"/>
              </a:schemeClr>
            </a:solidFill>
            <a:effectLst/>
            <a:latin typeface="Cambria" panose="02040503050406030204" pitchFamily="18" charset="0"/>
            <a:ea typeface="Cambria" panose="02040503050406030204" pitchFamily="18" charset="0"/>
            <a:cs typeface="+mn-cs"/>
          </a:endParaRPr>
        </a:p>
        <a:p>
          <a:pPr algn="ctr"/>
          <a:r>
            <a:rPr lang="de-AT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Musikverlag Mag. Bernhard Holl</a:t>
          </a:r>
        </a:p>
        <a:p>
          <a:pPr algn="ctr"/>
          <a:r>
            <a:rPr lang="de-AT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8912 Admont  |  Johnsbach 92</a:t>
          </a:r>
        </a:p>
        <a:p>
          <a:pPr algn="ctr"/>
          <a:r>
            <a:rPr lang="de-AT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Steiermark  | Austria</a:t>
          </a:r>
        </a:p>
        <a:p>
          <a:pPr algn="ctr"/>
          <a:r>
            <a:rPr lang="de-AT" sz="11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Cambria" panose="02040503050406030204" pitchFamily="18" charset="0"/>
              <a:ea typeface="Cambria" panose="02040503050406030204" pitchFamily="18" charset="0"/>
              <a:cs typeface="+mn-cs"/>
            </a:rPr>
            <a:t>office@xeisworks.at</a:t>
          </a:r>
          <a:endParaRPr lang="de-AT" sz="1100">
            <a:solidFill>
              <a:schemeClr val="tx1">
                <a:lumMod val="65000"/>
                <a:lumOff val="35000"/>
              </a:schemeClr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4A55-0756-4FFA-8CF0-BC500395A31C}">
  <dimension ref="A1:AN132"/>
  <sheetViews>
    <sheetView topLeftCell="Q1" zoomScale="85" zoomScaleNormal="85" workbookViewId="0">
      <selection activeCell="AB16" sqref="AB16"/>
    </sheetView>
  </sheetViews>
  <sheetFormatPr baseColWidth="10" defaultColWidth="11.109375" defaultRowHeight="14.4" x14ac:dyDescent="0.3"/>
  <cols>
    <col min="1" max="1" width="11.44140625" style="1" customWidth="1"/>
    <col min="2" max="2" width="29.44140625" style="1" customWidth="1"/>
    <col min="3" max="3" width="5.109375" style="1" customWidth="1"/>
    <col min="4" max="4" width="11.109375" style="1"/>
    <col min="5" max="5" width="21.77734375" style="1" bestFit="1" customWidth="1"/>
    <col min="6" max="6" width="5.109375" style="1" customWidth="1"/>
    <col min="7" max="7" width="10" style="1" bestFit="1" customWidth="1"/>
    <col min="8" max="8" width="30.21875" style="1" bestFit="1" customWidth="1"/>
    <col min="9" max="9" width="5.77734375" style="1" customWidth="1"/>
    <col min="10" max="10" width="10.109375" style="1" customWidth="1"/>
    <col min="11" max="11" width="30" style="1" customWidth="1"/>
    <col min="12" max="12" width="5.109375" style="1" customWidth="1"/>
    <col min="13" max="13" width="10.77734375" style="1" customWidth="1"/>
    <col min="14" max="14" width="26" style="1" bestFit="1" customWidth="1"/>
    <col min="15" max="15" width="5.109375" style="1" customWidth="1"/>
    <col min="16" max="16" width="11.109375" style="1"/>
    <col min="17" max="17" width="30.109375" style="1" customWidth="1"/>
    <col min="18" max="18" width="7.77734375" style="63" bestFit="1" customWidth="1"/>
    <col min="19" max="19" width="5.109375" customWidth="1"/>
    <col min="20" max="20" width="9.44140625" style="1" bestFit="1" customWidth="1"/>
    <col min="21" max="21" width="27.109375" style="1" customWidth="1"/>
    <col min="22" max="22" width="5.77734375" style="1" customWidth="1"/>
    <col min="23" max="23" width="11.109375" style="1" bestFit="1" customWidth="1"/>
    <col min="24" max="24" width="28.21875" style="1" customWidth="1"/>
    <col min="25" max="25" width="8.44140625" style="63" bestFit="1" customWidth="1"/>
    <col min="26" max="26" width="3.77734375" style="1" customWidth="1"/>
    <col min="27" max="27" width="10.5546875" style="1" customWidth="1"/>
    <col min="28" max="28" width="28.21875" style="1" customWidth="1"/>
    <col min="29" max="29" width="8.109375" style="63" bestFit="1" customWidth="1"/>
    <col min="30" max="30" width="3.77734375" style="1" customWidth="1"/>
    <col min="31" max="31" width="11.109375" style="1"/>
    <col min="32" max="32" width="28.21875" style="1" customWidth="1"/>
    <col min="33" max="33" width="10.21875" style="1" customWidth="1"/>
    <col min="34" max="34" width="3.77734375" style="1" customWidth="1"/>
    <col min="35" max="35" width="9.5546875" style="1" bestFit="1" customWidth="1"/>
    <col min="36" max="36" width="28.21875" style="1" customWidth="1"/>
    <col min="37" max="37" width="8.109375" style="63" bestFit="1" customWidth="1"/>
    <col min="38" max="38" width="3.77734375" style="1" customWidth="1"/>
    <col min="39" max="39" width="9.5546875" style="1" bestFit="1" customWidth="1"/>
    <col min="40" max="40" width="28.21875" style="1" customWidth="1"/>
    <col min="41" max="16384" width="11.109375" style="1"/>
  </cols>
  <sheetData>
    <row r="1" spans="1:40" x14ac:dyDescent="0.3">
      <c r="A1" s="1" t="s">
        <v>0</v>
      </c>
      <c r="W1" s="56"/>
    </row>
    <row r="3" spans="1:40" s="60" customFormat="1" ht="18.75" customHeight="1" x14ac:dyDescent="0.3">
      <c r="A3" s="77" t="s">
        <v>76</v>
      </c>
      <c r="B3" s="77"/>
      <c r="D3" s="77" t="s">
        <v>234</v>
      </c>
      <c r="E3" s="77"/>
      <c r="G3" s="77" t="s">
        <v>235</v>
      </c>
      <c r="H3" s="77"/>
      <c r="J3" s="77" t="s">
        <v>1371</v>
      </c>
      <c r="K3" s="77"/>
      <c r="M3" s="77" t="s">
        <v>236</v>
      </c>
      <c r="N3" s="77"/>
      <c r="O3" s="77"/>
      <c r="P3" s="77"/>
      <c r="Q3" s="77"/>
      <c r="R3" s="64"/>
      <c r="S3" s="61"/>
      <c r="T3" s="77" t="s">
        <v>344</v>
      </c>
      <c r="U3" s="77"/>
      <c r="W3" s="77" t="s">
        <v>1035</v>
      </c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</row>
    <row r="5" spans="1:40" x14ac:dyDescent="0.3">
      <c r="M5" s="62" t="s">
        <v>1009</v>
      </c>
      <c r="N5" s="62" t="s">
        <v>183</v>
      </c>
      <c r="O5" s="62"/>
      <c r="P5" s="62" t="s">
        <v>182</v>
      </c>
      <c r="Q5" s="62" t="s">
        <v>183</v>
      </c>
      <c r="R5" s="65" t="s">
        <v>193</v>
      </c>
    </row>
    <row r="6" spans="1:40" x14ac:dyDescent="0.3">
      <c r="A6" s="1" t="s">
        <v>1</v>
      </c>
      <c r="B6" s="2" t="s">
        <v>73</v>
      </c>
      <c r="D6" s="1" t="s">
        <v>782</v>
      </c>
      <c r="E6" s="1" t="s">
        <v>783</v>
      </c>
      <c r="G6" s="1" t="s">
        <v>53</v>
      </c>
      <c r="H6" s="2" t="s">
        <v>54</v>
      </c>
      <c r="J6" s="1" t="s">
        <v>1353</v>
      </c>
      <c r="K6" s="1" t="s">
        <v>317</v>
      </c>
      <c r="M6" s="1" t="s">
        <v>1273</v>
      </c>
      <c r="N6" s="2" t="s">
        <v>506</v>
      </c>
      <c r="O6" s="59"/>
      <c r="P6" s="1" t="s">
        <v>922</v>
      </c>
      <c r="Q6" s="2" t="s">
        <v>923</v>
      </c>
      <c r="R6" s="66"/>
      <c r="T6" s="78" t="s">
        <v>345</v>
      </c>
      <c r="U6" s="78"/>
      <c r="W6" s="79" t="s">
        <v>1031</v>
      </c>
      <c r="X6" s="79"/>
      <c r="Y6" s="75" t="s">
        <v>1267</v>
      </c>
      <c r="AA6" s="79" t="s">
        <v>1032</v>
      </c>
      <c r="AB6" s="79"/>
      <c r="AC6" s="75" t="s">
        <v>1267</v>
      </c>
      <c r="AE6" s="79" t="s">
        <v>1033</v>
      </c>
      <c r="AF6" s="79"/>
      <c r="AG6" s="76"/>
      <c r="AI6" s="79" t="s">
        <v>1270</v>
      </c>
      <c r="AJ6" s="79"/>
      <c r="AK6" s="75" t="s">
        <v>1267</v>
      </c>
      <c r="AM6" s="79" t="s">
        <v>1034</v>
      </c>
      <c r="AN6" s="79"/>
    </row>
    <row r="7" spans="1:40" x14ac:dyDescent="0.3">
      <c r="A7" s="1" t="s">
        <v>2</v>
      </c>
      <c r="B7" s="1" t="s">
        <v>68</v>
      </c>
      <c r="G7" s="1" t="s">
        <v>55</v>
      </c>
      <c r="J7" s="1" t="s">
        <v>1354</v>
      </c>
      <c r="K7" s="1" t="s">
        <v>326</v>
      </c>
      <c r="M7" s="1" t="s">
        <v>1274</v>
      </c>
      <c r="N7" s="1" t="s">
        <v>232</v>
      </c>
      <c r="O7" s="59"/>
      <c r="P7" s="1" t="s">
        <v>857</v>
      </c>
      <c r="Q7" s="1" t="s">
        <v>798</v>
      </c>
      <c r="R7" s="63">
        <v>17.18</v>
      </c>
      <c r="W7" s="1" t="s">
        <v>981</v>
      </c>
      <c r="X7" s="1" t="s">
        <v>1119</v>
      </c>
      <c r="Y7" s="63">
        <v>31.9</v>
      </c>
      <c r="AA7" s="1" t="s">
        <v>1120</v>
      </c>
      <c r="AB7" s="1" t="s">
        <v>1148</v>
      </c>
      <c r="AC7" s="63">
        <v>42.9</v>
      </c>
      <c r="AE7" s="1" t="s">
        <v>1121</v>
      </c>
      <c r="AF7" s="1" t="s">
        <v>1124</v>
      </c>
      <c r="AI7" s="1" t="s">
        <v>1122</v>
      </c>
      <c r="AJ7" s="1" t="s">
        <v>1125</v>
      </c>
      <c r="AM7" s="1" t="s">
        <v>1123</v>
      </c>
      <c r="AN7" s="1" t="s">
        <v>1126</v>
      </c>
    </row>
    <row r="8" spans="1:40" x14ac:dyDescent="0.3">
      <c r="A8" s="1" t="s">
        <v>3</v>
      </c>
      <c r="B8" s="1" t="s">
        <v>69</v>
      </c>
      <c r="D8" s="1" t="s">
        <v>19</v>
      </c>
      <c r="E8" s="2" t="s">
        <v>31</v>
      </c>
      <c r="G8" s="1" t="s">
        <v>56</v>
      </c>
      <c r="J8" s="1" t="s">
        <v>1355</v>
      </c>
      <c r="K8" s="1" t="s">
        <v>358</v>
      </c>
      <c r="M8" s="1" t="s">
        <v>1275</v>
      </c>
      <c r="N8" s="1" t="s">
        <v>233</v>
      </c>
      <c r="O8" s="59"/>
      <c r="P8" s="1" t="s">
        <v>858</v>
      </c>
      <c r="Q8" s="1" t="s">
        <v>799</v>
      </c>
      <c r="R8" s="63">
        <v>22.64</v>
      </c>
      <c r="W8" s="1" t="s">
        <v>982</v>
      </c>
      <c r="X8" s="1" t="s">
        <v>1127</v>
      </c>
      <c r="Y8" s="63">
        <v>31.9</v>
      </c>
      <c r="AA8" s="1" t="s">
        <v>1036</v>
      </c>
      <c r="AB8" s="1" t="s">
        <v>1138</v>
      </c>
      <c r="AC8" s="63">
        <v>42.9</v>
      </c>
      <c r="AE8" s="1" t="s">
        <v>1008</v>
      </c>
      <c r="AF8" s="1" t="s">
        <v>812</v>
      </c>
      <c r="AG8" s="1">
        <v>64.900000000000006</v>
      </c>
      <c r="AI8" s="1" t="s">
        <v>1077</v>
      </c>
      <c r="AJ8" s="1" t="s">
        <v>269</v>
      </c>
      <c r="AK8" s="63">
        <v>64.900000000000006</v>
      </c>
      <c r="AM8" s="1" t="s">
        <v>1098</v>
      </c>
      <c r="AN8" s="1" t="s">
        <v>854</v>
      </c>
    </row>
    <row r="9" spans="1:40" x14ac:dyDescent="0.3">
      <c r="A9" s="1" t="s">
        <v>4</v>
      </c>
      <c r="B9" s="1" t="s">
        <v>70</v>
      </c>
      <c r="D9" s="1" t="s">
        <v>20</v>
      </c>
      <c r="E9" s="1" t="s">
        <v>68</v>
      </c>
      <c r="G9" s="1" t="s">
        <v>57</v>
      </c>
      <c r="J9" s="1" t="s">
        <v>1356</v>
      </c>
      <c r="K9" s="1" t="s">
        <v>514</v>
      </c>
      <c r="M9" s="1" t="s">
        <v>1276</v>
      </c>
      <c r="N9" s="1" t="s">
        <v>85</v>
      </c>
      <c r="O9" s="59"/>
      <c r="P9" s="1" t="s">
        <v>859</v>
      </c>
      <c r="Q9" s="1" t="s">
        <v>800</v>
      </c>
      <c r="R9" s="63">
        <v>17.18</v>
      </c>
      <c r="W9" s="1" t="s">
        <v>983</v>
      </c>
      <c r="X9" s="1" t="s">
        <v>1128</v>
      </c>
      <c r="Y9" s="63">
        <v>31.9</v>
      </c>
      <c r="AA9" s="1" t="s">
        <v>1037</v>
      </c>
      <c r="AB9" s="1" t="s">
        <v>1146</v>
      </c>
      <c r="AC9" s="63">
        <v>42.9</v>
      </c>
      <c r="AE9" s="1" t="s">
        <v>1057</v>
      </c>
      <c r="AF9" s="1" t="s">
        <v>854</v>
      </c>
      <c r="AG9" s="1">
        <v>64.900000000000006</v>
      </c>
      <c r="AI9" s="1" t="s">
        <v>1078</v>
      </c>
      <c r="AJ9" s="1" t="s">
        <v>1133</v>
      </c>
      <c r="AK9" s="63">
        <v>53.9</v>
      </c>
      <c r="AM9" s="1" t="s">
        <v>1099</v>
      </c>
    </row>
    <row r="10" spans="1:40" x14ac:dyDescent="0.3">
      <c r="A10" s="1" t="s">
        <v>5</v>
      </c>
      <c r="B10" s="1" t="s">
        <v>71</v>
      </c>
      <c r="D10" s="1" t="s">
        <v>21</v>
      </c>
      <c r="E10" s="1" t="s">
        <v>69</v>
      </c>
      <c r="G10" s="1" t="s">
        <v>58</v>
      </c>
      <c r="J10" s="1" t="s">
        <v>1357</v>
      </c>
      <c r="K10" s="1" t="s">
        <v>519</v>
      </c>
      <c r="M10" s="1" t="s">
        <v>1277</v>
      </c>
      <c r="N10" s="1" t="s">
        <v>227</v>
      </c>
      <c r="O10" s="59"/>
      <c r="P10" s="1" t="s">
        <v>860</v>
      </c>
      <c r="Q10" s="1" t="s">
        <v>801</v>
      </c>
      <c r="R10" s="63">
        <v>22.64</v>
      </c>
      <c r="W10" s="1" t="s">
        <v>984</v>
      </c>
      <c r="X10" s="1" t="s">
        <v>1129</v>
      </c>
      <c r="Y10" s="63">
        <v>31.9</v>
      </c>
      <c r="AA10" s="1" t="s">
        <v>1038</v>
      </c>
      <c r="AB10" s="1" t="s">
        <v>1147</v>
      </c>
      <c r="AC10" s="63">
        <v>42.9</v>
      </c>
      <c r="AE10" s="1" t="s">
        <v>1058</v>
      </c>
      <c r="AF10" s="1" t="s">
        <v>855</v>
      </c>
      <c r="AG10" s="1">
        <v>64.900000000000006</v>
      </c>
      <c r="AI10" s="1" t="s">
        <v>1079</v>
      </c>
      <c r="AJ10" s="1" t="s">
        <v>1127</v>
      </c>
      <c r="AK10" s="63">
        <v>53.9</v>
      </c>
      <c r="AM10" s="1" t="s">
        <v>1100</v>
      </c>
    </row>
    <row r="11" spans="1:40" x14ac:dyDescent="0.3">
      <c r="A11" s="1" t="s">
        <v>6</v>
      </c>
      <c r="B11" s="1" t="s">
        <v>72</v>
      </c>
      <c r="D11" s="1" t="s">
        <v>22</v>
      </c>
      <c r="E11" s="1" t="s">
        <v>70</v>
      </c>
      <c r="G11" s="1" t="s">
        <v>59</v>
      </c>
      <c r="J11" s="1" t="s">
        <v>1358</v>
      </c>
      <c r="K11" s="1" t="s">
        <v>1363</v>
      </c>
      <c r="M11" s="1" t="s">
        <v>1278</v>
      </c>
      <c r="N11" s="1" t="s">
        <v>229</v>
      </c>
      <c r="O11" s="59"/>
      <c r="P11" s="1" t="s">
        <v>861</v>
      </c>
      <c r="Q11" s="1" t="s">
        <v>802</v>
      </c>
      <c r="R11" s="63">
        <v>17.18</v>
      </c>
      <c r="W11" s="1" t="s">
        <v>985</v>
      </c>
      <c r="X11" s="1" t="s">
        <v>1130</v>
      </c>
      <c r="Y11" s="63">
        <v>31.9</v>
      </c>
      <c r="AA11" s="1" t="s">
        <v>1039</v>
      </c>
      <c r="AB11" s="1" t="s">
        <v>1144</v>
      </c>
      <c r="AC11" s="63">
        <v>42.9</v>
      </c>
      <c r="AE11" s="1" t="s">
        <v>1059</v>
      </c>
      <c r="AF11" s="1" t="s">
        <v>856</v>
      </c>
      <c r="AG11" s="1">
        <v>64.900000000000006</v>
      </c>
      <c r="AI11" s="1" t="s">
        <v>1080</v>
      </c>
      <c r="AJ11" s="1" t="s">
        <v>1129</v>
      </c>
      <c r="AK11" s="63">
        <v>53.9</v>
      </c>
      <c r="AM11" s="1" t="s">
        <v>1101</v>
      </c>
    </row>
    <row r="12" spans="1:40" x14ac:dyDescent="0.3">
      <c r="A12" s="1" t="s">
        <v>79</v>
      </c>
      <c r="B12" s="1" t="s">
        <v>545</v>
      </c>
      <c r="D12" s="1" t="s">
        <v>23</v>
      </c>
      <c r="E12" s="1" t="s">
        <v>71</v>
      </c>
      <c r="G12" s="1" t="s">
        <v>60</v>
      </c>
      <c r="H12" s="1" t="s">
        <v>66</v>
      </c>
      <c r="J12" s="1" t="s">
        <v>1359</v>
      </c>
      <c r="K12" s="1" t="s">
        <v>1369</v>
      </c>
      <c r="M12" s="1" t="s">
        <v>1279</v>
      </c>
      <c r="N12" s="1" t="s">
        <v>231</v>
      </c>
      <c r="O12" s="59"/>
      <c r="P12" s="1" t="s">
        <v>1010</v>
      </c>
      <c r="Q12" s="1" t="s">
        <v>1012</v>
      </c>
      <c r="R12" s="63">
        <v>22.64</v>
      </c>
      <c r="W12" s="1" t="s">
        <v>986</v>
      </c>
      <c r="X12" s="1" t="s">
        <v>1131</v>
      </c>
      <c r="Y12" s="63">
        <v>31.9</v>
      </c>
      <c r="AA12" s="1" t="s">
        <v>1040</v>
      </c>
      <c r="AB12" s="1" t="s">
        <v>1140</v>
      </c>
      <c r="AC12" s="63">
        <v>42.9</v>
      </c>
      <c r="AE12" s="1" t="s">
        <v>1060</v>
      </c>
      <c r="AI12" s="1" t="s">
        <v>1081</v>
      </c>
      <c r="AJ12" s="1" t="s">
        <v>1271</v>
      </c>
      <c r="AK12" s="63">
        <v>53.9</v>
      </c>
      <c r="AM12" s="1" t="s">
        <v>1102</v>
      </c>
    </row>
    <row r="13" spans="1:40" x14ac:dyDescent="0.3">
      <c r="A13" s="1" t="s">
        <v>80</v>
      </c>
      <c r="B13" s="1" t="s">
        <v>552</v>
      </c>
      <c r="D13" s="1" t="s">
        <v>24</v>
      </c>
      <c r="E13" s="1" t="s">
        <v>72</v>
      </c>
      <c r="G13" s="1" t="s">
        <v>61</v>
      </c>
      <c r="J13" s="1" t="s">
        <v>1360</v>
      </c>
      <c r="M13" s="1" t="s">
        <v>1280</v>
      </c>
      <c r="N13" s="1" t="s">
        <v>261</v>
      </c>
      <c r="O13" s="59"/>
      <c r="P13" s="1" t="s">
        <v>1011</v>
      </c>
      <c r="Q13" s="1" t="s">
        <v>1013</v>
      </c>
      <c r="R13" s="63">
        <v>19</v>
      </c>
      <c r="W13" s="1" t="s">
        <v>987</v>
      </c>
      <c r="X13" s="1" t="s">
        <v>1132</v>
      </c>
      <c r="Y13" s="63">
        <v>31.9</v>
      </c>
      <c r="AA13" s="1" t="s">
        <v>1041</v>
      </c>
      <c r="AB13" s="1" t="s">
        <v>1145</v>
      </c>
      <c r="AC13" s="63">
        <v>42.9</v>
      </c>
      <c r="AE13" s="1" t="s">
        <v>1061</v>
      </c>
      <c r="AI13" s="1" t="s">
        <v>1082</v>
      </c>
      <c r="AJ13" s="1" t="s">
        <v>1131</v>
      </c>
      <c r="AK13" s="63">
        <v>53.9</v>
      </c>
      <c r="AM13" s="1" t="s">
        <v>1103</v>
      </c>
    </row>
    <row r="14" spans="1:40" x14ac:dyDescent="0.3">
      <c r="A14" s="1" t="s">
        <v>548</v>
      </c>
      <c r="B14" s="1" t="s">
        <v>549</v>
      </c>
      <c r="D14" s="1" t="s">
        <v>544</v>
      </c>
      <c r="E14" s="1" t="s">
        <v>545</v>
      </c>
      <c r="G14" s="1" t="s">
        <v>62</v>
      </c>
      <c r="J14" s="1" t="s">
        <v>1361</v>
      </c>
      <c r="M14" s="1" t="s">
        <v>1281</v>
      </c>
      <c r="N14" s="1" t="s">
        <v>262</v>
      </c>
      <c r="O14" s="59"/>
      <c r="P14" s="1" t="s">
        <v>862</v>
      </c>
      <c r="Q14" s="1" t="s">
        <v>803</v>
      </c>
      <c r="R14" s="63">
        <v>22.64</v>
      </c>
      <c r="W14" s="1" t="s">
        <v>988</v>
      </c>
      <c r="X14" s="1" t="s">
        <v>1133</v>
      </c>
      <c r="Y14" s="63">
        <v>31.9</v>
      </c>
      <c r="AA14" s="1" t="s">
        <v>1042</v>
      </c>
      <c r="AB14" s="1" t="s">
        <v>1141</v>
      </c>
      <c r="AC14" s="63">
        <v>42.9</v>
      </c>
      <c r="AE14" s="1" t="s">
        <v>1062</v>
      </c>
      <c r="AI14" s="1" t="s">
        <v>1083</v>
      </c>
      <c r="AJ14" s="1" t="s">
        <v>1132</v>
      </c>
      <c r="AK14" s="63">
        <v>53.9</v>
      </c>
      <c r="AM14" s="1" t="s">
        <v>1104</v>
      </c>
    </row>
    <row r="15" spans="1:40" x14ac:dyDescent="0.3">
      <c r="D15" s="1" t="s">
        <v>550</v>
      </c>
      <c r="E15" s="1" t="s">
        <v>552</v>
      </c>
      <c r="G15" s="1" t="s">
        <v>63</v>
      </c>
      <c r="J15" s="1" t="s">
        <v>1362</v>
      </c>
      <c r="M15" s="1" t="s">
        <v>1282</v>
      </c>
      <c r="N15" s="1" t="s">
        <v>263</v>
      </c>
      <c r="O15" s="59"/>
      <c r="P15" s="1" t="s">
        <v>863</v>
      </c>
      <c r="Q15" s="1" t="s">
        <v>804</v>
      </c>
      <c r="R15" s="63">
        <v>22.64</v>
      </c>
      <c r="W15" s="1" t="s">
        <v>989</v>
      </c>
      <c r="X15" s="1" t="s">
        <v>1134</v>
      </c>
      <c r="Y15" s="63">
        <v>31.9</v>
      </c>
      <c r="AA15" s="1" t="s">
        <v>1043</v>
      </c>
      <c r="AB15" s="1" t="s">
        <v>1142</v>
      </c>
      <c r="AC15" s="63">
        <v>42.9</v>
      </c>
      <c r="AE15" s="1" t="s">
        <v>1063</v>
      </c>
      <c r="AI15" s="1" t="s">
        <v>1084</v>
      </c>
      <c r="AJ15" s="1" t="s">
        <v>1133</v>
      </c>
      <c r="AK15" s="63">
        <v>53.9</v>
      </c>
      <c r="AM15" s="1" t="s">
        <v>1105</v>
      </c>
    </row>
    <row r="16" spans="1:40" x14ac:dyDescent="0.3">
      <c r="A16" s="1" t="s">
        <v>7</v>
      </c>
      <c r="B16" s="2" t="s">
        <v>75</v>
      </c>
      <c r="D16" s="1" t="s">
        <v>551</v>
      </c>
      <c r="E16" s="1" t="s">
        <v>549</v>
      </c>
      <c r="G16" s="1" t="s">
        <v>64</v>
      </c>
      <c r="M16" s="1" t="s">
        <v>1283</v>
      </c>
      <c r="N16" s="1" t="s">
        <v>264</v>
      </c>
      <c r="O16" s="59"/>
      <c r="P16" s="1" t="s">
        <v>864</v>
      </c>
      <c r="Q16" s="1" t="s">
        <v>805</v>
      </c>
      <c r="R16" s="63">
        <v>19.91</v>
      </c>
      <c r="W16" s="1" t="s">
        <v>990</v>
      </c>
      <c r="X16" s="1" t="s">
        <v>1135</v>
      </c>
      <c r="Y16" s="63">
        <v>31.9</v>
      </c>
      <c r="AA16" s="1" t="s">
        <v>1044</v>
      </c>
      <c r="AB16" s="1" t="s">
        <v>1143</v>
      </c>
      <c r="AC16" s="63">
        <v>42.9</v>
      </c>
      <c r="AE16" s="1" t="s">
        <v>1064</v>
      </c>
      <c r="AI16" s="1" t="s">
        <v>1085</v>
      </c>
      <c r="AJ16" s="1" t="s">
        <v>1272</v>
      </c>
      <c r="AK16" s="63">
        <v>53.9</v>
      </c>
      <c r="AM16" s="1" t="s">
        <v>1106</v>
      </c>
    </row>
    <row r="17" spans="1:39" x14ac:dyDescent="0.3">
      <c r="A17" s="1" t="s">
        <v>8</v>
      </c>
      <c r="B17" s="1" t="s">
        <v>68</v>
      </c>
      <c r="G17" s="1" t="s">
        <v>65</v>
      </c>
      <c r="M17" s="1" t="s">
        <v>1284</v>
      </c>
      <c r="N17" s="1" t="s">
        <v>265</v>
      </c>
      <c r="O17" s="59"/>
      <c r="P17" s="1" t="s">
        <v>865</v>
      </c>
      <c r="Q17" s="1" t="s">
        <v>806</v>
      </c>
      <c r="R17" s="63">
        <v>19.91</v>
      </c>
      <c r="W17" s="1" t="s">
        <v>991</v>
      </c>
      <c r="X17" s="1" t="s">
        <v>1136</v>
      </c>
      <c r="Y17" s="63">
        <v>31.9</v>
      </c>
      <c r="AA17" s="1" t="s">
        <v>1045</v>
      </c>
      <c r="AB17" s="1" t="s">
        <v>1139</v>
      </c>
      <c r="AC17" s="63">
        <v>42.9</v>
      </c>
      <c r="AE17" s="1" t="s">
        <v>1065</v>
      </c>
      <c r="AI17" s="1" t="s">
        <v>1086</v>
      </c>
      <c r="AJ17" s="1" t="s">
        <v>1137</v>
      </c>
      <c r="AK17" s="63">
        <v>53.9</v>
      </c>
      <c r="AM17" s="1" t="s">
        <v>1107</v>
      </c>
    </row>
    <row r="18" spans="1:39" x14ac:dyDescent="0.3">
      <c r="A18" s="1" t="s">
        <v>9</v>
      </c>
      <c r="B18" s="1" t="s">
        <v>69</v>
      </c>
      <c r="D18" s="1" t="s">
        <v>25</v>
      </c>
      <c r="E18" s="2" t="s">
        <v>32</v>
      </c>
      <c r="M18" s="1" t="s">
        <v>1285</v>
      </c>
      <c r="N18" s="1" t="s">
        <v>266</v>
      </c>
      <c r="O18" s="59"/>
      <c r="P18" s="1" t="s">
        <v>866</v>
      </c>
      <c r="Q18" s="1" t="s">
        <v>807</v>
      </c>
      <c r="R18" s="63">
        <v>22.64</v>
      </c>
      <c r="W18" s="1" t="s">
        <v>992</v>
      </c>
      <c r="X18" s="1" t="s">
        <v>1137</v>
      </c>
      <c r="Y18" s="63">
        <v>31.9</v>
      </c>
      <c r="AA18" s="1" t="s">
        <v>1046</v>
      </c>
      <c r="AB18" s="1" t="s">
        <v>1137</v>
      </c>
      <c r="AC18" s="63">
        <v>42.9</v>
      </c>
      <c r="AE18" s="1" t="s">
        <v>1066</v>
      </c>
      <c r="AI18" s="1" t="s">
        <v>1087</v>
      </c>
      <c r="AJ18" s="1" t="s">
        <v>1366</v>
      </c>
      <c r="AK18" s="63">
        <v>53.9</v>
      </c>
      <c r="AM18" s="1" t="s">
        <v>1108</v>
      </c>
    </row>
    <row r="19" spans="1:39" x14ac:dyDescent="0.3">
      <c r="A19" s="1" t="s">
        <v>10</v>
      </c>
      <c r="B19" s="1" t="s">
        <v>70</v>
      </c>
      <c r="D19" s="1" t="s">
        <v>26</v>
      </c>
      <c r="E19" s="1" t="s">
        <v>68</v>
      </c>
      <c r="M19" s="1" t="s">
        <v>1286</v>
      </c>
      <c r="N19" s="1" t="s">
        <v>267</v>
      </c>
      <c r="O19" s="59"/>
      <c r="P19" s="1" t="s">
        <v>867</v>
      </c>
      <c r="Q19" s="1" t="s">
        <v>808</v>
      </c>
      <c r="R19" s="63">
        <v>17.18</v>
      </c>
      <c r="W19" s="1" t="s">
        <v>993</v>
      </c>
      <c r="X19" s="1" t="s">
        <v>1364</v>
      </c>
      <c r="Y19" s="63">
        <v>31.9</v>
      </c>
      <c r="AA19" s="1" t="s">
        <v>1047</v>
      </c>
      <c r="AB19" s="1" t="s">
        <v>1364</v>
      </c>
      <c r="AC19" s="63">
        <v>42.9</v>
      </c>
      <c r="AE19" s="1" t="s">
        <v>1067</v>
      </c>
      <c r="AI19" s="1" t="s">
        <v>1088</v>
      </c>
      <c r="AJ19" s="1" t="s">
        <v>812</v>
      </c>
      <c r="AK19" s="63">
        <v>64.900000000000006</v>
      </c>
      <c r="AM19" s="1" t="s">
        <v>1109</v>
      </c>
    </row>
    <row r="20" spans="1:39" x14ac:dyDescent="0.3">
      <c r="A20" s="1" t="s">
        <v>11</v>
      </c>
      <c r="B20" s="1" t="s">
        <v>71</v>
      </c>
      <c r="D20" s="1" t="s">
        <v>27</v>
      </c>
      <c r="E20" s="1" t="s">
        <v>69</v>
      </c>
      <c r="M20" s="1" t="s">
        <v>1287</v>
      </c>
      <c r="N20" s="1" t="s">
        <v>268</v>
      </c>
      <c r="O20" s="59"/>
      <c r="P20" s="1" t="s">
        <v>868</v>
      </c>
      <c r="Q20" s="1" t="s">
        <v>809</v>
      </c>
      <c r="R20" s="63">
        <v>19.91</v>
      </c>
      <c r="W20" s="1" t="s">
        <v>994</v>
      </c>
      <c r="X20" s="1" t="s">
        <v>1366</v>
      </c>
      <c r="Y20" s="63">
        <v>31.9</v>
      </c>
      <c r="AA20" s="1" t="s">
        <v>1048</v>
      </c>
      <c r="AB20" s="1" t="s">
        <v>1365</v>
      </c>
      <c r="AC20" s="63">
        <v>42.9</v>
      </c>
      <c r="AE20" s="1" t="s">
        <v>1068</v>
      </c>
      <c r="AI20" s="1" t="s">
        <v>1089</v>
      </c>
      <c r="AM20" s="1" t="s">
        <v>1110</v>
      </c>
    </row>
    <row r="21" spans="1:39" x14ac:dyDescent="0.3">
      <c r="A21" s="1" t="s">
        <v>12</v>
      </c>
      <c r="B21" s="1" t="s">
        <v>72</v>
      </c>
      <c r="D21" s="1" t="s">
        <v>28</v>
      </c>
      <c r="E21" s="1" t="s">
        <v>70</v>
      </c>
      <c r="M21" s="1" t="s">
        <v>1288</v>
      </c>
      <c r="N21" s="1" t="s">
        <v>269</v>
      </c>
      <c r="O21" s="59"/>
      <c r="P21" s="1" t="s">
        <v>869</v>
      </c>
      <c r="Q21" s="1" t="s">
        <v>810</v>
      </c>
      <c r="R21" s="63">
        <v>17.18</v>
      </c>
      <c r="W21" s="1" t="s">
        <v>995</v>
      </c>
      <c r="X21" s="1" t="s">
        <v>812</v>
      </c>
      <c r="Y21" s="63">
        <v>31.9</v>
      </c>
      <c r="AA21" s="1" t="s">
        <v>1049</v>
      </c>
      <c r="AB21" s="1" t="s">
        <v>1366</v>
      </c>
      <c r="AC21" s="63">
        <v>42.9</v>
      </c>
      <c r="AE21" s="1" t="s">
        <v>1069</v>
      </c>
      <c r="AI21" s="1" t="s">
        <v>1090</v>
      </c>
      <c r="AM21" s="1" t="s">
        <v>1111</v>
      </c>
    </row>
    <row r="22" spans="1:39" x14ac:dyDescent="0.3">
      <c r="A22" s="1" t="s">
        <v>507</v>
      </c>
      <c r="B22" s="1" t="s">
        <v>545</v>
      </c>
      <c r="D22" s="1" t="s">
        <v>29</v>
      </c>
      <c r="E22" s="1" t="s">
        <v>71</v>
      </c>
      <c r="M22" s="1" t="s">
        <v>1289</v>
      </c>
      <c r="N22" s="1" t="s">
        <v>270</v>
      </c>
      <c r="O22" s="59"/>
      <c r="P22" s="1" t="s">
        <v>870</v>
      </c>
      <c r="Q22" s="1" t="s">
        <v>811</v>
      </c>
      <c r="R22" s="63">
        <v>17.18</v>
      </c>
      <c r="W22" s="1" t="s">
        <v>996</v>
      </c>
      <c r="AA22" s="1" t="s">
        <v>1050</v>
      </c>
      <c r="AB22" s="1" t="s">
        <v>1367</v>
      </c>
      <c r="AC22" s="63">
        <v>42.9</v>
      </c>
      <c r="AE22" s="1" t="s">
        <v>1070</v>
      </c>
      <c r="AI22" s="1" t="s">
        <v>1091</v>
      </c>
      <c r="AM22" s="1" t="s">
        <v>1112</v>
      </c>
    </row>
    <row r="23" spans="1:39" x14ac:dyDescent="0.3">
      <c r="A23" s="1" t="s">
        <v>563</v>
      </c>
      <c r="B23" s="1" t="s">
        <v>552</v>
      </c>
      <c r="D23" s="1" t="s">
        <v>30</v>
      </c>
      <c r="E23" s="1" t="s">
        <v>72</v>
      </c>
      <c r="M23" s="1" t="s">
        <v>1290</v>
      </c>
      <c r="N23" s="1" t="s">
        <v>271</v>
      </c>
      <c r="O23" s="59"/>
      <c r="P23" s="1" t="s">
        <v>871</v>
      </c>
      <c r="Q23" s="1" t="s">
        <v>812</v>
      </c>
      <c r="R23" s="63">
        <v>17.18</v>
      </c>
      <c r="W23" s="1" t="s">
        <v>997</v>
      </c>
      <c r="AA23" s="1" t="s">
        <v>1051</v>
      </c>
      <c r="AB23" s="1" t="s">
        <v>1368</v>
      </c>
      <c r="AC23" s="63">
        <v>42.9</v>
      </c>
      <c r="AE23" s="1" t="s">
        <v>1071</v>
      </c>
      <c r="AI23" s="1" t="s">
        <v>1092</v>
      </c>
      <c r="AM23" s="1" t="s">
        <v>1113</v>
      </c>
    </row>
    <row r="24" spans="1:39" x14ac:dyDescent="0.3">
      <c r="A24" s="1" t="s">
        <v>564</v>
      </c>
      <c r="B24" s="1" t="s">
        <v>549</v>
      </c>
      <c r="D24" s="1" t="s">
        <v>546</v>
      </c>
      <c r="E24" s="1" t="s">
        <v>545</v>
      </c>
      <c r="M24" s="1" t="s">
        <v>1291</v>
      </c>
      <c r="N24" s="1" t="s">
        <v>272</v>
      </c>
      <c r="O24" s="59"/>
      <c r="P24" s="1" t="s">
        <v>872</v>
      </c>
      <c r="Q24" s="1" t="s">
        <v>813</v>
      </c>
      <c r="R24" s="63">
        <v>19.91</v>
      </c>
      <c r="W24" s="1" t="s">
        <v>998</v>
      </c>
      <c r="AA24" s="1" t="s">
        <v>1052</v>
      </c>
      <c r="AB24" s="1" t="s">
        <v>1131</v>
      </c>
      <c r="AC24" s="63">
        <v>42.9</v>
      </c>
      <c r="AE24" s="1" t="s">
        <v>1072</v>
      </c>
      <c r="AI24" s="1" t="s">
        <v>1093</v>
      </c>
      <c r="AM24" s="1" t="s">
        <v>1114</v>
      </c>
    </row>
    <row r="25" spans="1:39" x14ac:dyDescent="0.3">
      <c r="D25" s="1" t="s">
        <v>553</v>
      </c>
      <c r="E25" s="1" t="s">
        <v>552</v>
      </c>
      <c r="M25" s="1" t="s">
        <v>1292</v>
      </c>
      <c r="N25" s="1" t="s">
        <v>273</v>
      </c>
      <c r="O25" s="59"/>
      <c r="P25" s="1" t="s">
        <v>873</v>
      </c>
      <c r="Q25" s="1" t="s">
        <v>814</v>
      </c>
      <c r="R25" s="63">
        <v>17.18</v>
      </c>
      <c r="W25" s="1" t="s">
        <v>999</v>
      </c>
      <c r="AA25" s="1" t="s">
        <v>1053</v>
      </c>
      <c r="AB25" s="1" t="s">
        <v>1130</v>
      </c>
      <c r="AC25" s="63">
        <v>42.9</v>
      </c>
      <c r="AE25" s="1" t="s">
        <v>1073</v>
      </c>
      <c r="AI25" s="1" t="s">
        <v>1094</v>
      </c>
      <c r="AM25" s="1" t="s">
        <v>1115</v>
      </c>
    </row>
    <row r="26" spans="1:39" x14ac:dyDescent="0.3">
      <c r="A26" s="1" t="s">
        <v>13</v>
      </c>
      <c r="B26" s="2" t="s">
        <v>74</v>
      </c>
      <c r="D26" s="1" t="s">
        <v>554</v>
      </c>
      <c r="E26" s="1" t="s">
        <v>549</v>
      </c>
      <c r="M26" s="1" t="s">
        <v>1293</v>
      </c>
      <c r="N26" s="1" t="s">
        <v>274</v>
      </c>
      <c r="O26" s="59"/>
      <c r="P26" s="1" t="s">
        <v>874</v>
      </c>
      <c r="Q26" s="1" t="s">
        <v>815</v>
      </c>
      <c r="R26" s="63">
        <v>17.18</v>
      </c>
      <c r="W26" s="1" t="s">
        <v>1000</v>
      </c>
      <c r="AA26" s="1" t="s">
        <v>1054</v>
      </c>
      <c r="AB26" s="1" t="s">
        <v>1129</v>
      </c>
      <c r="AC26" s="63">
        <v>42.9</v>
      </c>
      <c r="AE26" s="1" t="s">
        <v>1074</v>
      </c>
      <c r="AI26" s="1" t="s">
        <v>1095</v>
      </c>
      <c r="AM26" s="1" t="s">
        <v>1116</v>
      </c>
    </row>
    <row r="27" spans="1:39" x14ac:dyDescent="0.3">
      <c r="A27" s="1" t="s">
        <v>14</v>
      </c>
      <c r="B27" s="1" t="s">
        <v>68</v>
      </c>
      <c r="M27" s="1" t="s">
        <v>1294</v>
      </c>
      <c r="N27" s="1" t="s">
        <v>275</v>
      </c>
      <c r="O27" s="59"/>
      <c r="P27" s="1" t="s">
        <v>875</v>
      </c>
      <c r="Q27" s="1" t="s">
        <v>816</v>
      </c>
      <c r="R27" s="63">
        <v>17.18</v>
      </c>
      <c r="W27" s="1" t="s">
        <v>1001</v>
      </c>
      <c r="AA27" s="1" t="s">
        <v>1055</v>
      </c>
      <c r="AB27" s="1" t="s">
        <v>1127</v>
      </c>
      <c r="AC27" s="63">
        <v>42.9</v>
      </c>
      <c r="AE27" s="1" t="s">
        <v>1075</v>
      </c>
      <c r="AI27" s="1" t="s">
        <v>1096</v>
      </c>
      <c r="AM27" s="1" t="s">
        <v>1117</v>
      </c>
    </row>
    <row r="28" spans="1:39" x14ac:dyDescent="0.3">
      <c r="A28" s="1" t="s">
        <v>15</v>
      </c>
      <c r="B28" s="1" t="s">
        <v>69</v>
      </c>
      <c r="D28" s="1" t="s">
        <v>35</v>
      </c>
      <c r="E28" s="2" t="s">
        <v>33</v>
      </c>
      <c r="M28" s="1" t="s">
        <v>1295</v>
      </c>
      <c r="N28" s="1" t="s">
        <v>276</v>
      </c>
      <c r="O28" s="59"/>
      <c r="P28" s="1" t="s">
        <v>876</v>
      </c>
      <c r="Q28" s="1" t="s">
        <v>817</v>
      </c>
      <c r="R28" s="63">
        <v>17.18</v>
      </c>
      <c r="W28" s="1" t="s">
        <v>1002</v>
      </c>
      <c r="AA28" s="1" t="s">
        <v>1056</v>
      </c>
      <c r="AB28" s="1" t="s">
        <v>812</v>
      </c>
      <c r="AC28" s="63">
        <v>42.9</v>
      </c>
      <c r="AE28" s="1" t="s">
        <v>1076</v>
      </c>
      <c r="AI28" s="1" t="s">
        <v>1097</v>
      </c>
      <c r="AM28" s="1" t="s">
        <v>1118</v>
      </c>
    </row>
    <row r="29" spans="1:39" x14ac:dyDescent="0.3">
      <c r="A29" s="1" t="s">
        <v>16</v>
      </c>
      <c r="B29" s="1" t="s">
        <v>70</v>
      </c>
      <c r="D29" s="1" t="s">
        <v>36</v>
      </c>
      <c r="E29" s="1" t="s">
        <v>68</v>
      </c>
      <c r="M29" s="1" t="s">
        <v>1296</v>
      </c>
      <c r="N29" s="1" t="s">
        <v>277</v>
      </c>
      <c r="O29" s="59"/>
      <c r="P29" s="1" t="s">
        <v>877</v>
      </c>
      <c r="Q29" s="1" t="s">
        <v>818</v>
      </c>
      <c r="R29" s="63">
        <v>17.18</v>
      </c>
      <c r="W29" s="1" t="s">
        <v>1003</v>
      </c>
    </row>
    <row r="30" spans="1:39" x14ac:dyDescent="0.3">
      <c r="A30" s="1" t="s">
        <v>17</v>
      </c>
      <c r="B30" s="1" t="s">
        <v>71</v>
      </c>
      <c r="D30" s="1" t="s">
        <v>37</v>
      </c>
      <c r="E30" s="1" t="s">
        <v>69</v>
      </c>
      <c r="M30" s="1" t="s">
        <v>1297</v>
      </c>
      <c r="N30" s="1" t="s">
        <v>278</v>
      </c>
      <c r="O30" s="59"/>
      <c r="P30" s="1" t="s">
        <v>878</v>
      </c>
      <c r="Q30" s="1" t="s">
        <v>944</v>
      </c>
      <c r="R30" s="63">
        <v>19.91</v>
      </c>
      <c r="W30" s="1" t="s">
        <v>1004</v>
      </c>
    </row>
    <row r="31" spans="1:39" x14ac:dyDescent="0.3">
      <c r="A31" s="1" t="s">
        <v>18</v>
      </c>
      <c r="B31" s="1" t="s">
        <v>72</v>
      </c>
      <c r="D31" s="1" t="s">
        <v>38</v>
      </c>
      <c r="E31" s="1" t="s">
        <v>70</v>
      </c>
      <c r="M31" s="1" t="s">
        <v>1298</v>
      </c>
      <c r="N31" s="1" t="s">
        <v>316</v>
      </c>
      <c r="O31" s="59"/>
      <c r="P31" s="1" t="s">
        <v>879</v>
      </c>
      <c r="Q31" s="1" t="s">
        <v>819</v>
      </c>
      <c r="R31" s="63">
        <v>22.64</v>
      </c>
      <c r="W31" s="1" t="s">
        <v>1005</v>
      </c>
    </row>
    <row r="32" spans="1:39" x14ac:dyDescent="0.3">
      <c r="A32" s="1" t="s">
        <v>508</v>
      </c>
      <c r="B32" s="1" t="s">
        <v>545</v>
      </c>
      <c r="D32" s="1" t="s">
        <v>39</v>
      </c>
      <c r="E32" s="1" t="s">
        <v>71</v>
      </c>
      <c r="M32" s="1" t="s">
        <v>1299</v>
      </c>
      <c r="N32" s="1" t="s">
        <v>347</v>
      </c>
      <c r="O32" s="59"/>
      <c r="P32" s="1" t="s">
        <v>880</v>
      </c>
      <c r="Q32" s="1" t="s">
        <v>820</v>
      </c>
      <c r="R32" s="63">
        <v>22.64</v>
      </c>
      <c r="W32" s="1" t="s">
        <v>1006</v>
      </c>
    </row>
    <row r="33" spans="1:23" x14ac:dyDescent="0.3">
      <c r="A33" s="1" t="s">
        <v>565</v>
      </c>
      <c r="B33" s="1" t="s">
        <v>552</v>
      </c>
      <c r="D33" s="1" t="s">
        <v>40</v>
      </c>
      <c r="E33" s="1" t="s">
        <v>72</v>
      </c>
      <c r="M33" s="1" t="s">
        <v>1300</v>
      </c>
      <c r="N33" s="1" t="s">
        <v>318</v>
      </c>
      <c r="O33" s="59"/>
      <c r="P33" s="1" t="s">
        <v>881</v>
      </c>
      <c r="Q33" s="1" t="s">
        <v>821</v>
      </c>
      <c r="R33" s="63">
        <v>19.91</v>
      </c>
      <c r="W33" s="1" t="s">
        <v>1007</v>
      </c>
    </row>
    <row r="34" spans="1:23" x14ac:dyDescent="0.3">
      <c r="A34" s="1" t="s">
        <v>566</v>
      </c>
      <c r="B34" s="1" t="s">
        <v>549</v>
      </c>
      <c r="D34" s="1" t="s">
        <v>547</v>
      </c>
      <c r="E34" s="1" t="s">
        <v>545</v>
      </c>
      <c r="M34" s="1" t="s">
        <v>1301</v>
      </c>
      <c r="N34" s="1" t="s">
        <v>319</v>
      </c>
      <c r="O34" s="59"/>
      <c r="P34" s="1" t="s">
        <v>882</v>
      </c>
      <c r="Q34" s="1" t="s">
        <v>822</v>
      </c>
      <c r="R34" s="63">
        <v>22.64</v>
      </c>
    </row>
    <row r="35" spans="1:23" x14ac:dyDescent="0.3">
      <c r="D35" s="1" t="s">
        <v>555</v>
      </c>
      <c r="E35" s="1" t="s">
        <v>552</v>
      </c>
      <c r="M35" s="1" t="s">
        <v>1302</v>
      </c>
      <c r="N35" s="1" t="s">
        <v>320</v>
      </c>
      <c r="O35" s="59"/>
      <c r="P35" s="1" t="s">
        <v>883</v>
      </c>
      <c r="Q35" s="1" t="s">
        <v>823</v>
      </c>
      <c r="R35" s="63">
        <v>19.91</v>
      </c>
    </row>
    <row r="36" spans="1:23" x14ac:dyDescent="0.3">
      <c r="A36" s="1" t="s">
        <v>178</v>
      </c>
      <c r="B36" s="2" t="s">
        <v>509</v>
      </c>
      <c r="D36" s="1" t="s">
        <v>556</v>
      </c>
      <c r="E36" s="1" t="s">
        <v>549</v>
      </c>
      <c r="M36" s="1" t="s">
        <v>1303</v>
      </c>
      <c r="N36" s="1" t="s">
        <v>321</v>
      </c>
      <c r="O36" s="59"/>
      <c r="P36" s="1" t="s">
        <v>884</v>
      </c>
      <c r="Q36" s="1" t="s">
        <v>824</v>
      </c>
      <c r="R36" s="63">
        <v>17.18</v>
      </c>
    </row>
    <row r="37" spans="1:23" x14ac:dyDescent="0.3">
      <c r="A37" s="1" t="s">
        <v>510</v>
      </c>
      <c r="B37" s="1" t="s">
        <v>68</v>
      </c>
      <c r="M37" s="1" t="s">
        <v>1304</v>
      </c>
      <c r="N37" s="1" t="s">
        <v>322</v>
      </c>
      <c r="O37" s="59" t="s">
        <v>334</v>
      </c>
      <c r="P37" s="1" t="s">
        <v>885</v>
      </c>
      <c r="Q37" s="1" t="s">
        <v>825</v>
      </c>
      <c r="R37" s="63">
        <v>22.64</v>
      </c>
    </row>
    <row r="38" spans="1:23" x14ac:dyDescent="0.3">
      <c r="A38" s="1" t="s">
        <v>511</v>
      </c>
      <c r="B38" s="1" t="s">
        <v>69</v>
      </c>
      <c r="D38" s="1" t="s">
        <v>41</v>
      </c>
      <c r="E38" s="2" t="s">
        <v>186</v>
      </c>
      <c r="M38" s="1" t="s">
        <v>1305</v>
      </c>
      <c r="N38" s="1" t="s">
        <v>323</v>
      </c>
      <c r="O38" s="59"/>
      <c r="P38" s="1" t="s">
        <v>886</v>
      </c>
      <c r="Q38" s="1" t="s">
        <v>826</v>
      </c>
      <c r="R38" s="63">
        <v>22.64</v>
      </c>
    </row>
    <row r="39" spans="1:23" x14ac:dyDescent="0.3">
      <c r="A39" s="1" t="s">
        <v>179</v>
      </c>
      <c r="B39" s="1" t="s">
        <v>70</v>
      </c>
      <c r="D39" s="1" t="s">
        <v>42</v>
      </c>
      <c r="E39" s="1" t="s">
        <v>68</v>
      </c>
      <c r="M39" s="1" t="s">
        <v>1306</v>
      </c>
      <c r="N39" s="1" t="s">
        <v>324</v>
      </c>
      <c r="O39" s="59"/>
      <c r="P39" s="1" t="s">
        <v>887</v>
      </c>
      <c r="Q39" s="1" t="s">
        <v>827</v>
      </c>
      <c r="R39" s="63">
        <v>22.64</v>
      </c>
    </row>
    <row r="40" spans="1:23" x14ac:dyDescent="0.3">
      <c r="A40" s="1" t="s">
        <v>180</v>
      </c>
      <c r="B40" s="1" t="s">
        <v>71</v>
      </c>
      <c r="D40" s="1" t="s">
        <v>43</v>
      </c>
      <c r="E40" s="1" t="s">
        <v>69</v>
      </c>
      <c r="M40" s="1" t="s">
        <v>1307</v>
      </c>
      <c r="N40" s="1" t="s">
        <v>325</v>
      </c>
      <c r="O40" s="59"/>
      <c r="P40" s="1" t="s">
        <v>888</v>
      </c>
      <c r="Q40" s="1" t="s">
        <v>828</v>
      </c>
      <c r="R40" s="63">
        <v>22.64</v>
      </c>
    </row>
    <row r="41" spans="1:23" x14ac:dyDescent="0.3">
      <c r="A41" s="1" t="s">
        <v>181</v>
      </c>
      <c r="B41" s="1" t="s">
        <v>72</v>
      </c>
      <c r="D41" s="1" t="s">
        <v>44</v>
      </c>
      <c r="E41" s="1" t="s">
        <v>70</v>
      </c>
      <c r="M41" s="1" t="s">
        <v>1308</v>
      </c>
      <c r="N41" s="1" t="s">
        <v>346</v>
      </c>
      <c r="O41" s="59"/>
      <c r="P41" s="1" t="s">
        <v>889</v>
      </c>
      <c r="Q41" s="1" t="s">
        <v>829</v>
      </c>
      <c r="R41" s="63">
        <v>22.64</v>
      </c>
    </row>
    <row r="42" spans="1:23" x14ac:dyDescent="0.3">
      <c r="A42" s="1" t="s">
        <v>512</v>
      </c>
      <c r="B42" s="1" t="s">
        <v>545</v>
      </c>
      <c r="D42" s="1" t="s">
        <v>45</v>
      </c>
      <c r="E42" s="1" t="s">
        <v>71</v>
      </c>
      <c r="M42" s="1" t="s">
        <v>1309</v>
      </c>
      <c r="N42" s="1" t="s">
        <v>327</v>
      </c>
      <c r="O42" s="59"/>
      <c r="P42" s="1" t="s">
        <v>890</v>
      </c>
      <c r="Q42" s="1" t="s">
        <v>830</v>
      </c>
      <c r="R42" s="63">
        <v>22.64</v>
      </c>
    </row>
    <row r="43" spans="1:23" x14ac:dyDescent="0.3">
      <c r="A43" s="1" t="s">
        <v>567</v>
      </c>
      <c r="B43" s="1" t="s">
        <v>552</v>
      </c>
      <c r="D43" s="1" t="s">
        <v>46</v>
      </c>
      <c r="E43" s="1" t="s">
        <v>72</v>
      </c>
      <c r="M43" s="1" t="s">
        <v>1310</v>
      </c>
      <c r="N43" s="1" t="s">
        <v>328</v>
      </c>
      <c r="O43" s="59"/>
      <c r="P43" s="1" t="s">
        <v>891</v>
      </c>
      <c r="Q43" s="1" t="s">
        <v>831</v>
      </c>
      <c r="R43" s="63">
        <v>22.64</v>
      </c>
    </row>
    <row r="44" spans="1:23" x14ac:dyDescent="0.3">
      <c r="A44" s="1" t="s">
        <v>568</v>
      </c>
      <c r="B44" s="1" t="s">
        <v>549</v>
      </c>
      <c r="D44" s="1" t="s">
        <v>557</v>
      </c>
      <c r="E44" s="1" t="s">
        <v>545</v>
      </c>
      <c r="M44" s="1" t="s">
        <v>1311</v>
      </c>
      <c r="N44" s="1" t="s">
        <v>329</v>
      </c>
      <c r="O44" s="59"/>
      <c r="P44" s="1" t="s">
        <v>892</v>
      </c>
      <c r="Q44" s="1" t="s">
        <v>832</v>
      </c>
      <c r="R44" s="63">
        <v>22.64</v>
      </c>
    </row>
    <row r="45" spans="1:23" x14ac:dyDescent="0.3">
      <c r="D45" s="1" t="s">
        <v>558</v>
      </c>
      <c r="E45" s="1" t="s">
        <v>552</v>
      </c>
      <c r="M45" s="1" t="s">
        <v>1312</v>
      </c>
      <c r="N45" s="1" t="s">
        <v>330</v>
      </c>
      <c r="O45" s="59"/>
      <c r="P45" s="1" t="s">
        <v>893</v>
      </c>
      <c r="Q45" s="1" t="s">
        <v>833</v>
      </c>
      <c r="R45" s="63">
        <v>22.64</v>
      </c>
    </row>
    <row r="46" spans="1:23" x14ac:dyDescent="0.3">
      <c r="A46" s="2" t="s">
        <v>1218</v>
      </c>
      <c r="B46" s="2" t="s">
        <v>1215</v>
      </c>
      <c r="D46" s="1" t="s">
        <v>559</v>
      </c>
      <c r="E46" s="1" t="s">
        <v>549</v>
      </c>
      <c r="M46" s="1" t="s">
        <v>1313</v>
      </c>
      <c r="N46" s="1" t="s">
        <v>331</v>
      </c>
      <c r="O46" s="59"/>
      <c r="P46" s="1" t="s">
        <v>894</v>
      </c>
      <c r="Q46" s="1" t="s">
        <v>834</v>
      </c>
      <c r="R46" s="63">
        <v>22.64</v>
      </c>
    </row>
    <row r="47" spans="1:23" x14ac:dyDescent="0.3">
      <c r="A47" s="1" t="s">
        <v>1219</v>
      </c>
      <c r="B47" s="1" t="s">
        <v>1216</v>
      </c>
      <c r="M47" s="1" t="s">
        <v>1314</v>
      </c>
      <c r="N47" s="1" t="s">
        <v>231</v>
      </c>
      <c r="O47" s="59"/>
      <c r="P47" s="1" t="s">
        <v>895</v>
      </c>
      <c r="Q47" s="1" t="s">
        <v>835</v>
      </c>
      <c r="R47" s="63">
        <v>17.18</v>
      </c>
    </row>
    <row r="48" spans="1:23" x14ac:dyDescent="0.3">
      <c r="A48" s="1" t="s">
        <v>1220</v>
      </c>
      <c r="B48" s="1" t="s">
        <v>1217</v>
      </c>
      <c r="D48" s="1" t="s">
        <v>47</v>
      </c>
      <c r="E48" s="2" t="s">
        <v>34</v>
      </c>
      <c r="M48" s="1" t="s">
        <v>1315</v>
      </c>
      <c r="N48" s="1" t="s">
        <v>332</v>
      </c>
      <c r="O48" s="59"/>
      <c r="P48" s="1" t="s">
        <v>896</v>
      </c>
      <c r="Q48" s="1" t="s">
        <v>836</v>
      </c>
      <c r="R48" s="63">
        <v>22.64</v>
      </c>
    </row>
    <row r="49" spans="1:27" x14ac:dyDescent="0.3">
      <c r="A49" s="1" t="s">
        <v>1221</v>
      </c>
      <c r="B49" s="1" t="s">
        <v>1247</v>
      </c>
      <c r="D49" s="1" t="s">
        <v>48</v>
      </c>
      <c r="E49" s="1" t="s">
        <v>68</v>
      </c>
      <c r="M49" s="1" t="s">
        <v>1316</v>
      </c>
      <c r="N49" s="1" t="s">
        <v>333</v>
      </c>
      <c r="O49" s="59"/>
      <c r="P49" s="1" t="s">
        <v>897</v>
      </c>
      <c r="Q49" s="1" t="s">
        <v>837</v>
      </c>
      <c r="R49" s="63">
        <v>19.91</v>
      </c>
    </row>
    <row r="50" spans="1:27" x14ac:dyDescent="0.3">
      <c r="A50" s="1" t="s">
        <v>1222</v>
      </c>
      <c r="B50" s="1" t="s">
        <v>1246</v>
      </c>
      <c r="D50" s="1" t="s">
        <v>49</v>
      </c>
      <c r="E50" s="1" t="s">
        <v>69</v>
      </c>
      <c r="M50" s="1" t="s">
        <v>1317</v>
      </c>
      <c r="N50" s="1" t="s">
        <v>356</v>
      </c>
      <c r="O50" s="59"/>
      <c r="P50" s="1" t="s">
        <v>898</v>
      </c>
      <c r="Q50" s="1" t="s">
        <v>838</v>
      </c>
      <c r="R50" s="63">
        <v>17.18</v>
      </c>
    </row>
    <row r="51" spans="1:27" x14ac:dyDescent="0.3">
      <c r="A51" s="1" t="s">
        <v>1223</v>
      </c>
      <c r="D51" s="1" t="s">
        <v>50</v>
      </c>
      <c r="E51" s="1" t="s">
        <v>70</v>
      </c>
      <c r="M51" s="1" t="s">
        <v>1318</v>
      </c>
      <c r="N51" s="1" t="s">
        <v>357</v>
      </c>
      <c r="O51" s="59"/>
      <c r="P51" s="1" t="s">
        <v>899</v>
      </c>
      <c r="Q51" s="1" t="s">
        <v>839</v>
      </c>
      <c r="R51" s="63">
        <v>17.18</v>
      </c>
    </row>
    <row r="52" spans="1:27" x14ac:dyDescent="0.3">
      <c r="A52" s="1" t="s">
        <v>1224</v>
      </c>
      <c r="D52" s="1" t="s">
        <v>51</v>
      </c>
      <c r="E52" s="1" t="s">
        <v>71</v>
      </c>
      <c r="M52" s="1" t="s">
        <v>1319</v>
      </c>
      <c r="N52" s="1" t="s">
        <v>395</v>
      </c>
      <c r="O52" s="59"/>
      <c r="P52" s="1" t="s">
        <v>900</v>
      </c>
      <c r="Q52" s="1" t="s">
        <v>840</v>
      </c>
      <c r="R52" s="63">
        <v>22.64</v>
      </c>
    </row>
    <row r="53" spans="1:27" x14ac:dyDescent="0.3">
      <c r="A53" s="1" t="s">
        <v>1225</v>
      </c>
      <c r="D53" s="1" t="s">
        <v>52</v>
      </c>
      <c r="E53" s="1" t="s">
        <v>72</v>
      </c>
      <c r="M53" s="1" t="s">
        <v>1320</v>
      </c>
      <c r="N53" s="1" t="s">
        <v>513</v>
      </c>
      <c r="O53" s="59"/>
      <c r="P53" s="1" t="s">
        <v>901</v>
      </c>
      <c r="Q53" s="1" t="s">
        <v>841</v>
      </c>
      <c r="R53" s="63">
        <v>22.64</v>
      </c>
      <c r="Y53" s="1" t="s">
        <v>78</v>
      </c>
      <c r="AA53" s="1" t="str">
        <f>REPLACE(Y53,5,0,"0")</f>
        <v>XW-4000</v>
      </c>
    </row>
    <row r="54" spans="1:27" x14ac:dyDescent="0.3">
      <c r="A54" s="1" t="s">
        <v>1226</v>
      </c>
      <c r="D54" s="1" t="s">
        <v>560</v>
      </c>
      <c r="E54" s="1" t="s">
        <v>545</v>
      </c>
      <c r="M54" s="1" t="s">
        <v>1321</v>
      </c>
      <c r="N54" s="1" t="s">
        <v>529</v>
      </c>
      <c r="O54" s="59"/>
      <c r="P54" s="1" t="s">
        <v>902</v>
      </c>
      <c r="Q54" s="1" t="s">
        <v>842</v>
      </c>
      <c r="R54" s="63">
        <v>22.64</v>
      </c>
      <c r="Y54" s="1" t="s">
        <v>67</v>
      </c>
      <c r="AA54" s="1" t="str">
        <f t="shared" ref="AA54:AA117" si="0">REPLACE(Y54,5,0,"0")</f>
        <v>XW-4001</v>
      </c>
    </row>
    <row r="55" spans="1:27" x14ac:dyDescent="0.3">
      <c r="A55" s="1" t="s">
        <v>1227</v>
      </c>
      <c r="D55" s="1" t="s">
        <v>561</v>
      </c>
      <c r="E55" s="1" t="s">
        <v>552</v>
      </c>
      <c r="M55" s="1" t="s">
        <v>1322</v>
      </c>
      <c r="N55" s="1" t="s">
        <v>579</v>
      </c>
      <c r="O55" s="59"/>
      <c r="P55" s="1" t="s">
        <v>903</v>
      </c>
      <c r="Q55" s="1" t="s">
        <v>843</v>
      </c>
      <c r="R55" s="63">
        <v>22.64</v>
      </c>
      <c r="Y55" s="1" t="s">
        <v>77</v>
      </c>
      <c r="AA55" s="1" t="str">
        <f t="shared" si="0"/>
        <v>XW-4002</v>
      </c>
    </row>
    <row r="56" spans="1:27" x14ac:dyDescent="0.3">
      <c r="D56" s="1" t="s">
        <v>562</v>
      </c>
      <c r="E56" s="1" t="s">
        <v>549</v>
      </c>
      <c r="M56" s="1" t="s">
        <v>1323</v>
      </c>
      <c r="N56" s="1" t="s">
        <v>765</v>
      </c>
      <c r="O56" s="59"/>
      <c r="P56" s="1" t="s">
        <v>904</v>
      </c>
      <c r="Q56" s="1" t="s">
        <v>844</v>
      </c>
      <c r="R56" s="63">
        <v>22.64</v>
      </c>
      <c r="Y56" s="1" t="s">
        <v>86</v>
      </c>
      <c r="AA56" s="1" t="str">
        <f t="shared" si="0"/>
        <v>XW-4003</v>
      </c>
    </row>
    <row r="57" spans="1:27" x14ac:dyDescent="0.3">
      <c r="M57" s="1" t="s">
        <v>1324</v>
      </c>
      <c r="N57" s="1" t="s">
        <v>766</v>
      </c>
      <c r="O57" s="59"/>
      <c r="P57" s="1" t="s">
        <v>905</v>
      </c>
      <c r="Q57" s="1" t="s">
        <v>845</v>
      </c>
      <c r="R57" s="63">
        <v>17.18</v>
      </c>
      <c r="Y57" s="1" t="s">
        <v>226</v>
      </c>
      <c r="AA57" s="1" t="str">
        <f t="shared" si="0"/>
        <v>XW-4004</v>
      </c>
    </row>
    <row r="58" spans="1:27" x14ac:dyDescent="0.3">
      <c r="M58" s="1" t="s">
        <v>1325</v>
      </c>
      <c r="N58" s="1" t="s">
        <v>767</v>
      </c>
      <c r="O58" s="59"/>
      <c r="P58" s="1" t="s">
        <v>906</v>
      </c>
      <c r="Q58" s="1" t="s">
        <v>846</v>
      </c>
      <c r="R58" s="63">
        <v>14.45</v>
      </c>
      <c r="Y58" s="1" t="s">
        <v>228</v>
      </c>
      <c r="AA58" s="1" t="str">
        <f t="shared" si="0"/>
        <v>XW-4005</v>
      </c>
    </row>
    <row r="59" spans="1:27" x14ac:dyDescent="0.3">
      <c r="M59" s="1" t="s">
        <v>1326</v>
      </c>
      <c r="N59" s="1" t="s">
        <v>768</v>
      </c>
      <c r="O59" s="59"/>
      <c r="P59" s="1" t="s">
        <v>907</v>
      </c>
      <c r="Q59" s="1" t="s">
        <v>847</v>
      </c>
      <c r="R59" s="63">
        <v>14.45</v>
      </c>
      <c r="Y59" s="1" t="s">
        <v>230</v>
      </c>
      <c r="AA59" s="1" t="str">
        <f t="shared" si="0"/>
        <v>XW-4006</v>
      </c>
    </row>
    <row r="60" spans="1:27" x14ac:dyDescent="0.3">
      <c r="M60" s="1" t="s">
        <v>1327</v>
      </c>
      <c r="N60" s="1" t="s">
        <v>774</v>
      </c>
      <c r="O60" s="59"/>
      <c r="P60" s="1" t="s">
        <v>908</v>
      </c>
      <c r="Q60" s="1" t="s">
        <v>848</v>
      </c>
      <c r="R60" s="63">
        <v>17.18</v>
      </c>
      <c r="Y60" s="1" t="s">
        <v>237</v>
      </c>
      <c r="AA60" s="1" t="str">
        <f t="shared" si="0"/>
        <v>XW-4007</v>
      </c>
    </row>
    <row r="61" spans="1:27" x14ac:dyDescent="0.3">
      <c r="M61" s="1" t="s">
        <v>1328</v>
      </c>
      <c r="N61" s="1" t="s">
        <v>775</v>
      </c>
      <c r="O61" s="59"/>
      <c r="P61" s="1" t="s">
        <v>909</v>
      </c>
      <c r="Q61" s="1" t="s">
        <v>849</v>
      </c>
      <c r="R61" s="63">
        <v>17.18</v>
      </c>
      <c r="Y61" s="1" t="s">
        <v>238</v>
      </c>
      <c r="AA61" s="1" t="str">
        <f t="shared" si="0"/>
        <v>XW-4008</v>
      </c>
    </row>
    <row r="62" spans="1:27" x14ac:dyDescent="0.3">
      <c r="M62" s="1" t="s">
        <v>1329</v>
      </c>
      <c r="N62" s="1" t="s">
        <v>776</v>
      </c>
      <c r="O62" s="59"/>
      <c r="P62" s="1" t="s">
        <v>910</v>
      </c>
      <c r="Q62" s="1" t="s">
        <v>850</v>
      </c>
      <c r="R62" s="63">
        <v>22.64</v>
      </c>
      <c r="Y62" s="1" t="s">
        <v>239</v>
      </c>
      <c r="AA62" s="1" t="str">
        <f t="shared" si="0"/>
        <v>XW-4009</v>
      </c>
    </row>
    <row r="63" spans="1:27" x14ac:dyDescent="0.3">
      <c r="M63" s="1" t="s">
        <v>1330</v>
      </c>
      <c r="N63" s="1" t="s">
        <v>777</v>
      </c>
      <c r="O63" s="59"/>
      <c r="P63" s="1" t="s">
        <v>911</v>
      </c>
      <c r="Q63" s="1" t="s">
        <v>851</v>
      </c>
      <c r="R63" s="63">
        <v>22.64</v>
      </c>
      <c r="Y63" s="1" t="s">
        <v>240</v>
      </c>
      <c r="AA63" s="1" t="str">
        <f t="shared" si="0"/>
        <v>XW-4010</v>
      </c>
    </row>
    <row r="64" spans="1:27" x14ac:dyDescent="0.3">
      <c r="M64" s="1" t="s">
        <v>1331</v>
      </c>
      <c r="N64" s="1" t="s">
        <v>778</v>
      </c>
      <c r="O64" s="59"/>
      <c r="P64" s="1" t="s">
        <v>912</v>
      </c>
      <c r="Q64" s="1" t="s">
        <v>924</v>
      </c>
      <c r="R64" s="63">
        <v>19.91</v>
      </c>
      <c r="Y64" s="1" t="s">
        <v>241</v>
      </c>
      <c r="AA64" s="1" t="str">
        <f t="shared" si="0"/>
        <v>XW-4011</v>
      </c>
    </row>
    <row r="65" spans="13:27" ht="17.399999999999999" x14ac:dyDescent="0.3">
      <c r="M65" s="77" t="s">
        <v>979</v>
      </c>
      <c r="N65" s="77"/>
      <c r="O65" s="59"/>
      <c r="P65" s="1" t="s">
        <v>913</v>
      </c>
      <c r="Q65" s="1" t="s">
        <v>925</v>
      </c>
      <c r="R65" s="63">
        <v>19.91</v>
      </c>
      <c r="Y65" s="1" t="s">
        <v>242</v>
      </c>
      <c r="AA65" s="1" t="str">
        <f t="shared" si="0"/>
        <v>XW-4012</v>
      </c>
    </row>
    <row r="66" spans="13:27" x14ac:dyDescent="0.3">
      <c r="M66" s="1" t="s">
        <v>1332</v>
      </c>
      <c r="N66" s="1" t="s">
        <v>520</v>
      </c>
      <c r="O66" s="59"/>
      <c r="P66" s="1" t="s">
        <v>914</v>
      </c>
      <c r="Q66" s="1" t="s">
        <v>926</v>
      </c>
      <c r="R66" s="63">
        <v>17.18</v>
      </c>
      <c r="Y66" s="1" t="s">
        <v>243</v>
      </c>
      <c r="AA66" s="1" t="str">
        <f t="shared" si="0"/>
        <v>XW-4013</v>
      </c>
    </row>
    <row r="67" spans="13:27" x14ac:dyDescent="0.3">
      <c r="M67" s="1" t="s">
        <v>1333</v>
      </c>
      <c r="N67" s="1" t="s">
        <v>521</v>
      </c>
      <c r="O67" s="59"/>
      <c r="P67" s="1" t="s">
        <v>915</v>
      </c>
      <c r="Q67" s="1" t="s">
        <v>927</v>
      </c>
      <c r="R67" s="63">
        <v>17.18</v>
      </c>
      <c r="Y67" s="1" t="s">
        <v>244</v>
      </c>
      <c r="AA67" s="1" t="str">
        <f t="shared" si="0"/>
        <v>XW-4014</v>
      </c>
    </row>
    <row r="68" spans="13:27" x14ac:dyDescent="0.3">
      <c r="M68" s="1" t="s">
        <v>1334</v>
      </c>
      <c r="N68" s="1" t="s">
        <v>522</v>
      </c>
      <c r="O68" s="59"/>
      <c r="P68" s="1" t="s">
        <v>916</v>
      </c>
      <c r="Q68" s="1" t="s">
        <v>928</v>
      </c>
      <c r="R68" s="63">
        <v>22.64</v>
      </c>
      <c r="Y68" s="1" t="s">
        <v>245</v>
      </c>
      <c r="AA68" s="1" t="str">
        <f t="shared" si="0"/>
        <v>XW-4015</v>
      </c>
    </row>
    <row r="69" spans="13:27" x14ac:dyDescent="0.3">
      <c r="M69" s="1" t="s">
        <v>1335</v>
      </c>
      <c r="N69" s="1" t="s">
        <v>523</v>
      </c>
      <c r="O69" s="59"/>
      <c r="P69" s="1" t="s">
        <v>917</v>
      </c>
      <c r="Q69" s="1" t="s">
        <v>929</v>
      </c>
      <c r="R69" s="63">
        <v>19.91</v>
      </c>
      <c r="Y69" s="1" t="s">
        <v>246</v>
      </c>
      <c r="AA69" s="1" t="str">
        <f t="shared" si="0"/>
        <v>XW-4016</v>
      </c>
    </row>
    <row r="70" spans="13:27" x14ac:dyDescent="0.3">
      <c r="M70" s="1" t="s">
        <v>1336</v>
      </c>
      <c r="N70" s="1" t="s">
        <v>524</v>
      </c>
      <c r="O70" s="59"/>
      <c r="P70" s="1" t="s">
        <v>918</v>
      </c>
      <c r="Q70" s="1" t="s">
        <v>930</v>
      </c>
      <c r="R70" s="63">
        <v>22.64</v>
      </c>
      <c r="Y70" s="1" t="s">
        <v>247</v>
      </c>
      <c r="AA70" s="1" t="str">
        <f t="shared" si="0"/>
        <v>XW-4017</v>
      </c>
    </row>
    <row r="71" spans="13:27" x14ac:dyDescent="0.3">
      <c r="M71" s="1" t="s">
        <v>1337</v>
      </c>
      <c r="N71" s="1" t="s">
        <v>525</v>
      </c>
      <c r="O71" s="59"/>
      <c r="P71" s="1" t="s">
        <v>919</v>
      </c>
      <c r="Q71" s="1" t="s">
        <v>931</v>
      </c>
      <c r="R71" s="63">
        <v>17.18</v>
      </c>
      <c r="Y71" s="1" t="s">
        <v>248</v>
      </c>
      <c r="AA71" s="1" t="str">
        <f t="shared" si="0"/>
        <v>XW-4018</v>
      </c>
    </row>
    <row r="72" spans="13:27" x14ac:dyDescent="0.3">
      <c r="M72" s="1" t="s">
        <v>1338</v>
      </c>
      <c r="N72" s="1" t="s">
        <v>526</v>
      </c>
      <c r="O72" s="59"/>
      <c r="P72" s="1" t="s">
        <v>920</v>
      </c>
      <c r="Q72" s="1" t="s">
        <v>932</v>
      </c>
      <c r="R72" s="63">
        <v>17.18</v>
      </c>
      <c r="Y72" s="1" t="s">
        <v>249</v>
      </c>
      <c r="AA72" s="1" t="str">
        <f t="shared" si="0"/>
        <v>XW-4019</v>
      </c>
    </row>
    <row r="73" spans="13:27" x14ac:dyDescent="0.3">
      <c r="M73" s="1" t="s">
        <v>1339</v>
      </c>
      <c r="N73" s="1" t="s">
        <v>527</v>
      </c>
      <c r="O73" s="59"/>
      <c r="P73" s="1" t="s">
        <v>921</v>
      </c>
      <c r="Q73" s="1" t="s">
        <v>942</v>
      </c>
      <c r="R73" s="63">
        <v>19.91</v>
      </c>
      <c r="Y73" s="1" t="s">
        <v>250</v>
      </c>
      <c r="AA73" s="1" t="str">
        <f t="shared" si="0"/>
        <v>XW-4020</v>
      </c>
    </row>
    <row r="74" spans="13:27" x14ac:dyDescent="0.3">
      <c r="M74" s="1" t="s">
        <v>1340</v>
      </c>
      <c r="N74" s="1" t="s">
        <v>528</v>
      </c>
      <c r="O74" s="59"/>
      <c r="P74" s="1" t="s">
        <v>933</v>
      </c>
      <c r="Q74" s="1" t="s">
        <v>943</v>
      </c>
      <c r="R74" s="63">
        <v>17.18</v>
      </c>
      <c r="Y74" s="1" t="s">
        <v>251</v>
      </c>
      <c r="AA74" s="1" t="str">
        <f t="shared" si="0"/>
        <v>XW-4021</v>
      </c>
    </row>
    <row r="75" spans="13:27" x14ac:dyDescent="0.3">
      <c r="M75" s="1" t="s">
        <v>1341</v>
      </c>
      <c r="O75" s="59"/>
      <c r="P75" s="1" t="s">
        <v>934</v>
      </c>
      <c r="Q75" s="1" t="s">
        <v>945</v>
      </c>
      <c r="R75" s="63">
        <v>22.64</v>
      </c>
      <c r="Y75" s="1" t="s">
        <v>252</v>
      </c>
      <c r="AA75" s="1" t="str">
        <f t="shared" si="0"/>
        <v>XW-4022</v>
      </c>
    </row>
    <row r="76" spans="13:27" x14ac:dyDescent="0.3">
      <c r="M76" s="1" t="s">
        <v>1342</v>
      </c>
      <c r="O76" s="59"/>
      <c r="P76" s="1" t="s">
        <v>935</v>
      </c>
      <c r="Q76" s="1" t="s">
        <v>946</v>
      </c>
      <c r="R76" s="63">
        <v>17.18</v>
      </c>
      <c r="Y76" s="1" t="s">
        <v>253</v>
      </c>
      <c r="AA76" s="1" t="str">
        <f t="shared" si="0"/>
        <v>XW-4023</v>
      </c>
    </row>
    <row r="77" spans="13:27" x14ac:dyDescent="0.3">
      <c r="M77" s="1" t="s">
        <v>1343</v>
      </c>
      <c r="O77" s="59"/>
      <c r="P77" s="1" t="s">
        <v>936</v>
      </c>
      <c r="Q77" s="1" t="s">
        <v>947</v>
      </c>
      <c r="R77" s="63">
        <v>19.91</v>
      </c>
      <c r="Y77" s="1" t="s">
        <v>254</v>
      </c>
      <c r="AA77" s="1" t="str">
        <f t="shared" si="0"/>
        <v>XW-4024</v>
      </c>
    </row>
    <row r="78" spans="13:27" x14ac:dyDescent="0.3">
      <c r="M78" s="1" t="s">
        <v>1344</v>
      </c>
      <c r="O78" s="59"/>
      <c r="P78" s="1" t="s">
        <v>937</v>
      </c>
      <c r="Q78" s="1" t="s">
        <v>948</v>
      </c>
      <c r="R78" s="63">
        <v>22.64</v>
      </c>
      <c r="Y78" s="1" t="s">
        <v>255</v>
      </c>
      <c r="AA78" s="1" t="str">
        <f t="shared" si="0"/>
        <v>XW-4025</v>
      </c>
    </row>
    <row r="79" spans="13:27" x14ac:dyDescent="0.3">
      <c r="M79" s="1" t="s">
        <v>1345</v>
      </c>
      <c r="O79" s="59"/>
      <c r="P79" s="1" t="s">
        <v>938</v>
      </c>
      <c r="Q79" s="1" t="s">
        <v>949</v>
      </c>
      <c r="R79" s="63">
        <v>17.18</v>
      </c>
      <c r="Y79" s="1" t="s">
        <v>256</v>
      </c>
      <c r="AA79" s="1" t="str">
        <f t="shared" si="0"/>
        <v>XW-4026</v>
      </c>
    </row>
    <row r="80" spans="13:27" x14ac:dyDescent="0.3">
      <c r="M80" s="1" t="s">
        <v>1346</v>
      </c>
      <c r="O80" s="59"/>
      <c r="P80" s="1" t="s">
        <v>939</v>
      </c>
      <c r="Q80" s="1" t="s">
        <v>950</v>
      </c>
      <c r="R80" s="63">
        <v>22.64</v>
      </c>
      <c r="Y80" s="1" t="s">
        <v>257</v>
      </c>
      <c r="AA80" s="1" t="str">
        <f t="shared" si="0"/>
        <v>XW-4027</v>
      </c>
    </row>
    <row r="81" spans="13:27" x14ac:dyDescent="0.3">
      <c r="M81" s="1" t="s">
        <v>1347</v>
      </c>
      <c r="O81" s="59"/>
      <c r="P81" s="1" t="s">
        <v>940</v>
      </c>
      <c r="Q81" s="1" t="s">
        <v>951</v>
      </c>
      <c r="R81" s="63">
        <v>22.64</v>
      </c>
      <c r="Y81" s="1" t="s">
        <v>258</v>
      </c>
      <c r="AA81" s="1" t="str">
        <f t="shared" si="0"/>
        <v>XW-4028</v>
      </c>
    </row>
    <row r="82" spans="13:27" x14ac:dyDescent="0.3">
      <c r="M82" s="1" t="s">
        <v>1348</v>
      </c>
      <c r="O82" s="59"/>
      <c r="P82" s="1" t="s">
        <v>941</v>
      </c>
      <c r="Q82" s="1" t="s">
        <v>952</v>
      </c>
      <c r="R82" s="63">
        <v>19.91</v>
      </c>
      <c r="Y82" s="1" t="s">
        <v>259</v>
      </c>
      <c r="AA82" s="1" t="str">
        <f t="shared" si="0"/>
        <v>XW-4029</v>
      </c>
    </row>
    <row r="83" spans="13:27" x14ac:dyDescent="0.3">
      <c r="M83" s="1" t="s">
        <v>1349</v>
      </c>
      <c r="O83" s="59"/>
      <c r="P83" s="1" t="s">
        <v>953</v>
      </c>
      <c r="Q83" s="1" t="s">
        <v>961</v>
      </c>
      <c r="R83" s="63">
        <v>17.18</v>
      </c>
      <c r="Y83" s="1" t="s">
        <v>260</v>
      </c>
      <c r="AA83" s="1" t="str">
        <f t="shared" si="0"/>
        <v>XW-4030</v>
      </c>
    </row>
    <row r="84" spans="13:27" x14ac:dyDescent="0.3">
      <c r="M84" s="1" t="s">
        <v>1350</v>
      </c>
      <c r="O84" s="59"/>
      <c r="P84" s="1" t="s">
        <v>954</v>
      </c>
      <c r="Q84" s="1" t="s">
        <v>962</v>
      </c>
      <c r="R84" s="63">
        <v>17.18</v>
      </c>
      <c r="Y84" s="1" t="s">
        <v>279</v>
      </c>
      <c r="AA84" s="1" t="str">
        <f t="shared" si="0"/>
        <v>XW-4031</v>
      </c>
    </row>
    <row r="85" spans="13:27" x14ac:dyDescent="0.3">
      <c r="M85" s="1" t="s">
        <v>1351</v>
      </c>
      <c r="O85" s="59"/>
      <c r="P85" s="1" t="s">
        <v>955</v>
      </c>
      <c r="Q85" s="1" t="s">
        <v>963</v>
      </c>
      <c r="R85" s="63">
        <v>22.64</v>
      </c>
      <c r="Y85" s="1" t="s">
        <v>280</v>
      </c>
      <c r="AA85" s="1" t="str">
        <f t="shared" si="0"/>
        <v>XW-4032</v>
      </c>
    </row>
    <row r="86" spans="13:27" x14ac:dyDescent="0.3">
      <c r="M86" s="1" t="s">
        <v>1352</v>
      </c>
      <c r="O86" s="59"/>
      <c r="P86" s="1" t="s">
        <v>956</v>
      </c>
      <c r="Q86" s="1" t="s">
        <v>964</v>
      </c>
      <c r="R86" s="63">
        <v>22.64</v>
      </c>
      <c r="Y86" s="1" t="s">
        <v>281</v>
      </c>
      <c r="AA86" s="1" t="str">
        <f t="shared" si="0"/>
        <v>XW-4033</v>
      </c>
    </row>
    <row r="87" spans="13:27" ht="17.399999999999999" x14ac:dyDescent="0.3">
      <c r="M87" s="77" t="s">
        <v>980</v>
      </c>
      <c r="N87" s="77"/>
      <c r="O87" s="59"/>
      <c r="P87" s="1" t="s">
        <v>957</v>
      </c>
      <c r="Q87" s="1" t="s">
        <v>965</v>
      </c>
      <c r="R87" s="63">
        <v>22.64</v>
      </c>
      <c r="Y87" s="1" t="s">
        <v>282</v>
      </c>
      <c r="AA87" s="1" t="str">
        <f t="shared" si="0"/>
        <v>XW-4034</v>
      </c>
    </row>
    <row r="88" spans="13:27" x14ac:dyDescent="0.3">
      <c r="M88" s="1" t="s">
        <v>1196</v>
      </c>
      <c r="N88" s="1" t="s">
        <v>1213</v>
      </c>
      <c r="O88" s="59"/>
      <c r="P88" s="1" t="s">
        <v>958</v>
      </c>
      <c r="Q88" s="1" t="s">
        <v>966</v>
      </c>
      <c r="R88" s="63">
        <v>22.64</v>
      </c>
      <c r="Y88" s="1" t="s">
        <v>283</v>
      </c>
      <c r="AA88" s="1" t="str">
        <f t="shared" si="0"/>
        <v>XW-4035</v>
      </c>
    </row>
    <row r="89" spans="13:27" x14ac:dyDescent="0.3">
      <c r="M89" s="1" t="s">
        <v>1197</v>
      </c>
      <c r="N89" s="1" t="s">
        <v>1214</v>
      </c>
      <c r="O89" s="59"/>
      <c r="P89" s="1" t="s">
        <v>959</v>
      </c>
      <c r="Q89" s="1" t="s">
        <v>1149</v>
      </c>
      <c r="R89" s="63">
        <v>25.36</v>
      </c>
      <c r="Y89" s="1" t="s">
        <v>284</v>
      </c>
      <c r="AA89" s="1" t="str">
        <f t="shared" si="0"/>
        <v>XW-4036</v>
      </c>
    </row>
    <row r="90" spans="13:27" x14ac:dyDescent="0.3">
      <c r="M90" s="1" t="s">
        <v>1198</v>
      </c>
      <c r="N90" s="1" t="s">
        <v>1268</v>
      </c>
      <c r="O90" s="59"/>
      <c r="P90" s="1" t="s">
        <v>960</v>
      </c>
      <c r="Q90" s="1" t="s">
        <v>1242</v>
      </c>
      <c r="R90" s="63">
        <v>25.36</v>
      </c>
      <c r="Y90" s="1" t="s">
        <v>285</v>
      </c>
      <c r="AA90" s="1" t="str">
        <f t="shared" si="0"/>
        <v>XW-4037</v>
      </c>
    </row>
    <row r="91" spans="13:27" x14ac:dyDescent="0.3">
      <c r="M91" s="1" t="s">
        <v>1199</v>
      </c>
      <c r="N91" s="1" t="s">
        <v>1269</v>
      </c>
      <c r="O91" s="59"/>
      <c r="P91" s="1" t="s">
        <v>1228</v>
      </c>
      <c r="Q91" s="1" t="s">
        <v>1243</v>
      </c>
      <c r="R91" s="63">
        <v>25.36</v>
      </c>
      <c r="Y91" s="1" t="s">
        <v>286</v>
      </c>
      <c r="AA91" s="1" t="str">
        <f t="shared" si="0"/>
        <v>XW-4038</v>
      </c>
    </row>
    <row r="92" spans="13:27" x14ac:dyDescent="0.3">
      <c r="M92" s="1" t="s">
        <v>1200</v>
      </c>
      <c r="N92" s="1" t="s">
        <v>1370</v>
      </c>
      <c r="O92" s="59"/>
      <c r="P92" s="1" t="s">
        <v>1229</v>
      </c>
      <c r="Q92" s="1" t="s">
        <v>1244</v>
      </c>
      <c r="R92" s="63">
        <v>25.36</v>
      </c>
      <c r="Y92" s="1" t="s">
        <v>287</v>
      </c>
      <c r="AA92" s="1" t="str">
        <f t="shared" si="0"/>
        <v>XW-4039</v>
      </c>
    </row>
    <row r="93" spans="13:27" x14ac:dyDescent="0.3">
      <c r="M93" s="1" t="s">
        <v>1201</v>
      </c>
      <c r="O93" s="59"/>
      <c r="P93" s="1" t="s">
        <v>1230</v>
      </c>
      <c r="Q93" s="1" t="s">
        <v>1245</v>
      </c>
      <c r="R93" s="63">
        <v>25.36</v>
      </c>
      <c r="Y93" s="1" t="s">
        <v>288</v>
      </c>
      <c r="AA93" s="1" t="str">
        <f t="shared" si="0"/>
        <v>XW-4040</v>
      </c>
    </row>
    <row r="94" spans="13:27" x14ac:dyDescent="0.3">
      <c r="M94" s="1" t="s">
        <v>1202</v>
      </c>
      <c r="O94" s="59"/>
      <c r="P94" s="1" t="s">
        <v>1231</v>
      </c>
      <c r="R94" s="63">
        <v>25.36</v>
      </c>
      <c r="Y94" s="1" t="s">
        <v>289</v>
      </c>
      <c r="AA94" s="1" t="str">
        <f t="shared" si="0"/>
        <v>XW-4041</v>
      </c>
    </row>
    <row r="95" spans="13:27" x14ac:dyDescent="0.3">
      <c r="M95" s="1" t="s">
        <v>1203</v>
      </c>
      <c r="O95" s="59"/>
      <c r="P95" s="1" t="s">
        <v>1232</v>
      </c>
      <c r="R95" s="63">
        <v>25.36</v>
      </c>
      <c r="Y95" s="1" t="s">
        <v>290</v>
      </c>
      <c r="AA95" s="1" t="str">
        <f t="shared" si="0"/>
        <v>XW-4042</v>
      </c>
    </row>
    <row r="96" spans="13:27" x14ac:dyDescent="0.3">
      <c r="M96" s="1" t="s">
        <v>1204</v>
      </c>
      <c r="O96" s="59"/>
      <c r="P96" s="1" t="s">
        <v>1233</v>
      </c>
      <c r="R96" s="63">
        <v>25.36</v>
      </c>
      <c r="Y96" s="1" t="s">
        <v>291</v>
      </c>
      <c r="AA96" s="1" t="str">
        <f t="shared" si="0"/>
        <v>XW-4043</v>
      </c>
    </row>
    <row r="97" spans="13:27" x14ac:dyDescent="0.3">
      <c r="M97" s="1" t="s">
        <v>1205</v>
      </c>
      <c r="O97" s="59"/>
      <c r="P97" s="1" t="s">
        <v>1234</v>
      </c>
      <c r="R97" s="63">
        <v>25.36</v>
      </c>
      <c r="Y97" s="1" t="s">
        <v>292</v>
      </c>
      <c r="AA97" s="1" t="str">
        <f t="shared" si="0"/>
        <v>XW-4044</v>
      </c>
    </row>
    <row r="98" spans="13:27" x14ac:dyDescent="0.3">
      <c r="M98" s="1" t="s">
        <v>1206</v>
      </c>
      <c r="O98" s="59"/>
      <c r="P98" s="1" t="s">
        <v>1235</v>
      </c>
      <c r="R98" s="63">
        <v>25.36</v>
      </c>
      <c r="Y98" s="1" t="s">
        <v>293</v>
      </c>
      <c r="AA98" s="1" t="str">
        <f t="shared" si="0"/>
        <v>XW-4045</v>
      </c>
    </row>
    <row r="99" spans="13:27" x14ac:dyDescent="0.3">
      <c r="M99" s="1" t="s">
        <v>1207</v>
      </c>
      <c r="O99" s="59"/>
      <c r="P99" s="1" t="s">
        <v>1236</v>
      </c>
      <c r="R99" s="63">
        <v>25.36</v>
      </c>
      <c r="Y99" s="1" t="s">
        <v>294</v>
      </c>
      <c r="AA99" s="1" t="str">
        <f t="shared" si="0"/>
        <v>XW-4046</v>
      </c>
    </row>
    <row r="100" spans="13:27" x14ac:dyDescent="0.3">
      <c r="M100" s="1" t="s">
        <v>1208</v>
      </c>
      <c r="O100" s="59"/>
      <c r="P100" s="1" t="s">
        <v>1237</v>
      </c>
      <c r="Y100" s="1" t="s">
        <v>295</v>
      </c>
      <c r="AA100" s="1" t="str">
        <f t="shared" si="0"/>
        <v>XW-4047</v>
      </c>
    </row>
    <row r="101" spans="13:27" x14ac:dyDescent="0.3">
      <c r="M101" s="1" t="s">
        <v>1209</v>
      </c>
      <c r="O101" s="59"/>
      <c r="P101" s="1" t="s">
        <v>1238</v>
      </c>
      <c r="Y101" s="1" t="s">
        <v>296</v>
      </c>
      <c r="AA101" s="1" t="str">
        <f t="shared" si="0"/>
        <v>XW-4048</v>
      </c>
    </row>
    <row r="102" spans="13:27" x14ac:dyDescent="0.3">
      <c r="M102" s="1" t="s">
        <v>1210</v>
      </c>
      <c r="O102" s="59"/>
      <c r="P102" s="1" t="s">
        <v>1239</v>
      </c>
      <c r="Y102" s="1" t="s">
        <v>297</v>
      </c>
      <c r="AA102" s="1" t="str">
        <f t="shared" si="0"/>
        <v>XW-4049</v>
      </c>
    </row>
    <row r="103" spans="13:27" x14ac:dyDescent="0.3">
      <c r="M103" s="1" t="s">
        <v>1211</v>
      </c>
      <c r="O103" s="59"/>
      <c r="P103" s="1" t="s">
        <v>1240</v>
      </c>
      <c r="Y103" s="1" t="s">
        <v>298</v>
      </c>
      <c r="AA103" s="1" t="str">
        <f t="shared" si="0"/>
        <v>XW-4050</v>
      </c>
    </row>
    <row r="104" spans="13:27" x14ac:dyDescent="0.3">
      <c r="M104" s="1" t="s">
        <v>1212</v>
      </c>
      <c r="O104" s="59"/>
      <c r="P104" s="1" t="s">
        <v>1241</v>
      </c>
      <c r="Y104" s="1" t="s">
        <v>299</v>
      </c>
      <c r="AA104" s="1" t="str">
        <f t="shared" si="0"/>
        <v>XW-4051</v>
      </c>
    </row>
    <row r="105" spans="13:27" x14ac:dyDescent="0.3">
      <c r="Y105" s="1" t="s">
        <v>300</v>
      </c>
      <c r="AA105" s="1" t="str">
        <f t="shared" si="0"/>
        <v>XW-4052</v>
      </c>
    </row>
    <row r="106" spans="13:27" x14ac:dyDescent="0.3">
      <c r="Y106" s="1" t="s">
        <v>301</v>
      </c>
      <c r="AA106" s="1" t="str">
        <f t="shared" si="0"/>
        <v>XW-4053</v>
      </c>
    </row>
    <row r="107" spans="13:27" x14ac:dyDescent="0.3">
      <c r="Y107" s="1" t="s">
        <v>302</v>
      </c>
      <c r="AA107" s="1" t="str">
        <f t="shared" si="0"/>
        <v>XW-4054</v>
      </c>
    </row>
    <row r="108" spans="13:27" x14ac:dyDescent="0.3">
      <c r="Y108" s="1" t="s">
        <v>303</v>
      </c>
      <c r="AA108" s="1" t="str">
        <f t="shared" si="0"/>
        <v>XW-4055</v>
      </c>
    </row>
    <row r="109" spans="13:27" x14ac:dyDescent="0.3">
      <c r="Y109" s="1" t="s">
        <v>304</v>
      </c>
      <c r="AA109" s="1" t="str">
        <f t="shared" si="0"/>
        <v>XW-4056</v>
      </c>
    </row>
    <row r="110" spans="13:27" x14ac:dyDescent="0.3">
      <c r="Y110" s="1" t="s">
        <v>305</v>
      </c>
      <c r="AA110" s="1" t="str">
        <f t="shared" si="0"/>
        <v>XW-4057</v>
      </c>
    </row>
    <row r="111" spans="13:27" x14ac:dyDescent="0.3">
      <c r="Y111" s="1" t="s">
        <v>306</v>
      </c>
      <c r="AA111" s="1" t="str">
        <f t="shared" si="0"/>
        <v>XW-4058</v>
      </c>
    </row>
    <row r="112" spans="13:27" x14ac:dyDescent="0.3">
      <c r="Y112" s="1" t="s">
        <v>307</v>
      </c>
      <c r="AA112" s="1" t="str">
        <f t="shared" si="0"/>
        <v>XW-4059</v>
      </c>
    </row>
    <row r="113" spans="25:27" x14ac:dyDescent="0.3">
      <c r="Y113" s="1" t="s">
        <v>308</v>
      </c>
      <c r="AA113" s="1" t="str">
        <f t="shared" si="0"/>
        <v>XW-4060</v>
      </c>
    </row>
    <row r="114" spans="25:27" x14ac:dyDescent="0.3">
      <c r="Y114" s="1" t="s">
        <v>309</v>
      </c>
      <c r="AA114" s="1" t="str">
        <f t="shared" si="0"/>
        <v>XW-4061</v>
      </c>
    </row>
    <row r="115" spans="25:27" x14ac:dyDescent="0.3">
      <c r="Y115" s="1" t="s">
        <v>310</v>
      </c>
      <c r="AA115" s="1" t="str">
        <f t="shared" si="0"/>
        <v>XW-4062</v>
      </c>
    </row>
    <row r="116" spans="25:27" x14ac:dyDescent="0.3">
      <c r="Y116" s="1" t="s">
        <v>311</v>
      </c>
      <c r="AA116" s="1" t="str">
        <f t="shared" si="0"/>
        <v>XW-4063</v>
      </c>
    </row>
    <row r="117" spans="25:27" x14ac:dyDescent="0.3">
      <c r="Y117" s="1" t="s">
        <v>312</v>
      </c>
      <c r="AA117" s="1" t="str">
        <f t="shared" si="0"/>
        <v>XW-4064</v>
      </c>
    </row>
    <row r="118" spans="25:27" x14ac:dyDescent="0.3">
      <c r="Y118" s="1" t="s">
        <v>313</v>
      </c>
      <c r="AA118" s="1" t="str">
        <f t="shared" ref="AA118:AA132" si="1">REPLACE(Y118,5,0,"0")</f>
        <v>XW-4065</v>
      </c>
    </row>
    <row r="119" spans="25:27" x14ac:dyDescent="0.3">
      <c r="Y119" s="1" t="s">
        <v>314</v>
      </c>
      <c r="AA119" s="1" t="str">
        <f t="shared" si="1"/>
        <v>XW-4066</v>
      </c>
    </row>
    <row r="120" spans="25:27" x14ac:dyDescent="0.3">
      <c r="Y120" s="1" t="s">
        <v>315</v>
      </c>
      <c r="AA120" s="1" t="str">
        <f t="shared" si="1"/>
        <v>XW-4067</v>
      </c>
    </row>
    <row r="121" spans="25:27" x14ac:dyDescent="0.3">
      <c r="Y121" s="1" t="s">
        <v>967</v>
      </c>
      <c r="AA121" s="1" t="str">
        <f t="shared" si="1"/>
        <v>XW-4068</v>
      </c>
    </row>
    <row r="122" spans="25:27" x14ac:dyDescent="0.3">
      <c r="Y122" s="1" t="s">
        <v>968</v>
      </c>
      <c r="AA122" s="1" t="str">
        <f t="shared" si="1"/>
        <v>XW-4069</v>
      </c>
    </row>
    <row r="123" spans="25:27" x14ac:dyDescent="0.3">
      <c r="Y123" s="1" t="s">
        <v>969</v>
      </c>
      <c r="AA123" s="1" t="str">
        <f t="shared" si="1"/>
        <v>XW-4070</v>
      </c>
    </row>
    <row r="124" spans="25:27" x14ac:dyDescent="0.3">
      <c r="Y124" s="1" t="s">
        <v>970</v>
      </c>
      <c r="AA124" s="1" t="str">
        <f t="shared" si="1"/>
        <v>XW-4071</v>
      </c>
    </row>
    <row r="125" spans="25:27" x14ac:dyDescent="0.3">
      <c r="Y125" s="1" t="s">
        <v>971</v>
      </c>
      <c r="AA125" s="1" t="str">
        <f t="shared" si="1"/>
        <v>XW-4072</v>
      </c>
    </row>
    <row r="126" spans="25:27" x14ac:dyDescent="0.3">
      <c r="Y126" s="1" t="s">
        <v>972</v>
      </c>
      <c r="AA126" s="1" t="str">
        <f t="shared" si="1"/>
        <v>XW-4073</v>
      </c>
    </row>
    <row r="127" spans="25:27" x14ac:dyDescent="0.3">
      <c r="Y127" s="1" t="s">
        <v>973</v>
      </c>
      <c r="AA127" s="1" t="str">
        <f t="shared" si="1"/>
        <v>XW-4074</v>
      </c>
    </row>
    <row r="128" spans="25:27" x14ac:dyDescent="0.3">
      <c r="Y128" s="1" t="s">
        <v>974</v>
      </c>
      <c r="AA128" s="1" t="str">
        <f t="shared" si="1"/>
        <v>XW-4075</v>
      </c>
    </row>
    <row r="129" spans="25:27" x14ac:dyDescent="0.3">
      <c r="Y129" s="1" t="s">
        <v>975</v>
      </c>
      <c r="AA129" s="1" t="str">
        <f t="shared" si="1"/>
        <v>XW-4076</v>
      </c>
    </row>
    <row r="130" spans="25:27" x14ac:dyDescent="0.3">
      <c r="Y130" s="1" t="s">
        <v>976</v>
      </c>
      <c r="AA130" s="1" t="str">
        <f t="shared" si="1"/>
        <v>XW-4077</v>
      </c>
    </row>
    <row r="131" spans="25:27" x14ac:dyDescent="0.3">
      <c r="Y131" s="1" t="s">
        <v>977</v>
      </c>
      <c r="AA131" s="1" t="str">
        <f t="shared" si="1"/>
        <v>XW-4078</v>
      </c>
    </row>
    <row r="132" spans="25:27" x14ac:dyDescent="0.3">
      <c r="Y132" s="1" t="s">
        <v>978</v>
      </c>
      <c r="AA132" s="1" t="str">
        <f t="shared" si="1"/>
        <v>XW-4079</v>
      </c>
    </row>
  </sheetData>
  <mergeCells count="15">
    <mergeCell ref="AM6:AN6"/>
    <mergeCell ref="W3:AN3"/>
    <mergeCell ref="M87:N87"/>
    <mergeCell ref="W6:X6"/>
    <mergeCell ref="AA6:AB6"/>
    <mergeCell ref="M65:N65"/>
    <mergeCell ref="AI6:AJ6"/>
    <mergeCell ref="J3:K3"/>
    <mergeCell ref="T6:U6"/>
    <mergeCell ref="AE6:AF6"/>
    <mergeCell ref="A3:B3"/>
    <mergeCell ref="D3:E3"/>
    <mergeCell ref="G3:H3"/>
    <mergeCell ref="T3:U3"/>
    <mergeCell ref="M3:Q3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8A28-8FB3-469E-8C21-AC0E06CF943A}">
  <dimension ref="A2:AF99"/>
  <sheetViews>
    <sheetView tabSelected="1" zoomScaleNormal="100" workbookViewId="0">
      <selection activeCell="D4" sqref="D4"/>
    </sheetView>
  </sheetViews>
  <sheetFormatPr baseColWidth="10" defaultColWidth="11.44140625" defaultRowHeight="13.8" x14ac:dyDescent="0.3"/>
  <cols>
    <col min="1" max="1" width="11.6640625" style="4" bestFit="1" customWidth="1"/>
    <col min="2" max="2" width="30.44140625" style="4" bestFit="1" customWidth="1"/>
    <col min="3" max="3" width="4.109375" style="4" customWidth="1"/>
    <col min="4" max="4" width="11.109375" style="4" customWidth="1"/>
    <col min="5" max="5" width="27.88671875" style="4" bestFit="1" customWidth="1"/>
    <col min="6" max="6" width="4.21875" style="4" customWidth="1"/>
    <col min="7" max="7" width="11.6640625" style="4" bestFit="1" customWidth="1"/>
    <col min="8" max="8" width="29.5546875" style="4" customWidth="1"/>
    <col min="9" max="9" width="4" style="4" customWidth="1"/>
    <col min="10" max="10" width="11.109375" style="4" customWidth="1"/>
    <col min="11" max="11" width="24.21875" style="4" customWidth="1"/>
    <col min="12" max="12" width="3.77734375" style="4" customWidth="1"/>
    <col min="13" max="13" width="11.109375" style="4" customWidth="1"/>
    <col min="14" max="14" width="16.44140625" style="4" bestFit="1" customWidth="1"/>
    <col min="15" max="15" width="3.77734375" style="4" customWidth="1"/>
    <col min="16" max="16" width="12" style="4" customWidth="1"/>
    <col min="17" max="17" width="32" style="4" bestFit="1" customWidth="1"/>
    <col min="18" max="18" width="2.44140625" style="4" customWidth="1"/>
    <col min="19" max="19" width="11.109375" style="4" customWidth="1"/>
    <col min="20" max="20" width="28.77734375" style="4" bestFit="1" customWidth="1"/>
    <col min="21" max="21" width="3.77734375" style="4" customWidth="1"/>
    <col min="22" max="22" width="11.109375" style="4" customWidth="1"/>
    <col min="23" max="23" width="32" style="4" bestFit="1" customWidth="1"/>
    <col min="24" max="24" width="2.44140625" style="4" customWidth="1"/>
    <col min="25" max="25" width="11.109375" style="4" customWidth="1"/>
    <col min="26" max="26" width="28.77734375" style="4" bestFit="1" customWidth="1"/>
    <col min="27" max="27" width="3.77734375" style="4" customWidth="1"/>
    <col min="28" max="28" width="11.6640625" style="4" bestFit="1" customWidth="1"/>
    <col min="29" max="29" width="29" style="4" customWidth="1"/>
    <col min="30" max="30" width="3.77734375" style="4" customWidth="1"/>
    <col min="31" max="31" width="11.109375" style="4" customWidth="1"/>
    <col min="32" max="32" width="24.77734375" style="4" customWidth="1"/>
    <col min="33" max="16384" width="11.44140625" style="4"/>
  </cols>
  <sheetData>
    <row r="2" spans="1:32" x14ac:dyDescent="0.3">
      <c r="A2" s="4" t="s">
        <v>202</v>
      </c>
      <c r="B2" s="4" t="s">
        <v>203</v>
      </c>
      <c r="D2" s="4" t="s">
        <v>1376</v>
      </c>
      <c r="E2" s="4" t="s">
        <v>1378</v>
      </c>
    </row>
    <row r="3" spans="1:32" x14ac:dyDescent="0.3">
      <c r="A3" s="4" t="s">
        <v>852</v>
      </c>
      <c r="B3" s="4" t="s">
        <v>853</v>
      </c>
      <c r="D3" s="4" t="s">
        <v>1377</v>
      </c>
      <c r="E3" s="4" t="s">
        <v>1379</v>
      </c>
    </row>
    <row r="4" spans="1:32" x14ac:dyDescent="0.3">
      <c r="A4" s="4" t="s">
        <v>348</v>
      </c>
      <c r="B4" s="4" t="s">
        <v>349</v>
      </c>
      <c r="D4" s="4" t="s">
        <v>1372</v>
      </c>
      <c r="E4" s="4" t="s">
        <v>1373</v>
      </c>
    </row>
    <row r="5" spans="1:32" x14ac:dyDescent="0.3">
      <c r="A5" s="4" t="s">
        <v>350</v>
      </c>
      <c r="B5" s="4" t="s">
        <v>355</v>
      </c>
      <c r="D5" s="4" t="s">
        <v>1374</v>
      </c>
      <c r="E5" s="4" t="s">
        <v>1375</v>
      </c>
    </row>
    <row r="6" spans="1:32" x14ac:dyDescent="0.3">
      <c r="A6" s="4" t="s">
        <v>351</v>
      </c>
      <c r="B6" s="4" t="s">
        <v>354</v>
      </c>
    </row>
    <row r="7" spans="1:32" x14ac:dyDescent="0.3">
      <c r="A7" s="4" t="s">
        <v>352</v>
      </c>
      <c r="B7" s="4" t="s">
        <v>353</v>
      </c>
    </row>
    <row r="8" spans="1:32" x14ac:dyDescent="0.3">
      <c r="A8" s="4" t="s">
        <v>1248</v>
      </c>
      <c r="B8" s="4" t="s">
        <v>1249</v>
      </c>
    </row>
    <row r="10" spans="1:32" x14ac:dyDescent="0.3">
      <c r="A10" s="81" t="s">
        <v>679</v>
      </c>
      <c r="B10" s="81"/>
      <c r="C10" s="3"/>
      <c r="D10" s="81" t="s">
        <v>680</v>
      </c>
      <c r="E10" s="81"/>
      <c r="F10" s="3"/>
      <c r="G10" s="81" t="s">
        <v>681</v>
      </c>
      <c r="H10" s="81"/>
      <c r="I10" s="3"/>
      <c r="J10" s="81" t="s">
        <v>682</v>
      </c>
      <c r="K10" s="81"/>
      <c r="L10" s="3"/>
      <c r="M10" s="81" t="s">
        <v>683</v>
      </c>
      <c r="N10" s="81"/>
      <c r="O10" s="3"/>
      <c r="P10" s="81" t="s">
        <v>461</v>
      </c>
      <c r="Q10" s="81"/>
      <c r="R10" s="81"/>
      <c r="S10" s="81"/>
      <c r="T10" s="81"/>
      <c r="V10" s="81" t="s">
        <v>462</v>
      </c>
      <c r="W10" s="81"/>
      <c r="X10" s="81"/>
      <c r="Y10" s="81"/>
      <c r="Z10" s="81"/>
      <c r="AB10" s="81" t="s">
        <v>1189</v>
      </c>
      <c r="AC10" s="81"/>
      <c r="AE10" s="81" t="s">
        <v>652</v>
      </c>
      <c r="AF10" s="81"/>
    </row>
    <row r="11" spans="1:32" s="33" customFormat="1" ht="10.199999999999999" x14ac:dyDescent="0.2">
      <c r="A11" s="32"/>
      <c r="B11" s="32"/>
      <c r="C11" s="32"/>
      <c r="F11" s="32"/>
      <c r="G11" s="32"/>
      <c r="H11" s="32"/>
      <c r="I11" s="32"/>
    </row>
    <row r="12" spans="1:32" s="33" customFormat="1" ht="10.199999999999999" x14ac:dyDescent="0.2">
      <c r="A12" s="34" t="s">
        <v>216</v>
      </c>
      <c r="B12" s="34" t="s">
        <v>215</v>
      </c>
      <c r="C12" s="32"/>
      <c r="D12" s="34" t="s">
        <v>216</v>
      </c>
      <c r="E12" s="34" t="s">
        <v>215</v>
      </c>
      <c r="F12" s="32"/>
      <c r="G12" s="34" t="s">
        <v>216</v>
      </c>
      <c r="H12" s="34" t="s">
        <v>215</v>
      </c>
      <c r="I12" s="32"/>
      <c r="J12" s="34" t="s">
        <v>216</v>
      </c>
      <c r="K12" s="34" t="s">
        <v>215</v>
      </c>
      <c r="M12" s="34" t="s">
        <v>216</v>
      </c>
      <c r="N12" s="34" t="s">
        <v>215</v>
      </c>
      <c r="P12" s="34" t="s">
        <v>216</v>
      </c>
      <c r="Q12" s="34" t="s">
        <v>215</v>
      </c>
      <c r="S12" s="34" t="s">
        <v>216</v>
      </c>
      <c r="T12" s="34" t="s">
        <v>215</v>
      </c>
      <c r="V12" s="34" t="s">
        <v>216</v>
      </c>
      <c r="W12" s="34" t="s">
        <v>215</v>
      </c>
      <c r="Y12" s="34" t="s">
        <v>216</v>
      </c>
      <c r="Z12" s="34" t="s">
        <v>215</v>
      </c>
      <c r="AB12" s="34" t="s">
        <v>216</v>
      </c>
      <c r="AC12" s="34" t="s">
        <v>215</v>
      </c>
      <c r="AE12" s="34" t="s">
        <v>216</v>
      </c>
      <c r="AF12" s="34" t="s">
        <v>215</v>
      </c>
    </row>
    <row r="13" spans="1:32" customFormat="1" ht="14.4" x14ac:dyDescent="0.3">
      <c r="A13" s="80" t="s">
        <v>1155</v>
      </c>
      <c r="B13" s="80"/>
      <c r="C13" s="3"/>
      <c r="D13" s="80" t="s">
        <v>1155</v>
      </c>
      <c r="E13" s="80"/>
      <c r="F13" s="3"/>
      <c r="G13" s="80" t="s">
        <v>1155</v>
      </c>
      <c r="H13" s="80"/>
      <c r="I13" s="3"/>
      <c r="J13" s="80" t="s">
        <v>1155</v>
      </c>
      <c r="K13" s="80"/>
      <c r="L13" s="3"/>
      <c r="M13" s="80" t="s">
        <v>1155</v>
      </c>
      <c r="N13" s="80"/>
      <c r="O13" s="3"/>
      <c r="P13" s="80" t="s">
        <v>417</v>
      </c>
      <c r="Q13" s="80"/>
      <c r="S13" s="80" t="s">
        <v>420</v>
      </c>
      <c r="T13" s="80"/>
      <c r="U13" s="3"/>
      <c r="V13" s="80" t="s">
        <v>417</v>
      </c>
      <c r="W13" s="80"/>
      <c r="Y13" s="80" t="s">
        <v>420</v>
      </c>
      <c r="Z13" s="80"/>
      <c r="AA13" s="3"/>
      <c r="AB13" s="80" t="s">
        <v>1155</v>
      </c>
      <c r="AC13" s="80"/>
      <c r="AD13" s="3"/>
      <c r="AE13" s="80" t="s">
        <v>1155</v>
      </c>
      <c r="AF13" s="80"/>
    </row>
    <row r="14" spans="1:32" s="3" customFormat="1" ht="14.4" customHeight="1" x14ac:dyDescent="0.25">
      <c r="A14" s="3" t="s">
        <v>89</v>
      </c>
      <c r="B14" s="3" t="s">
        <v>87</v>
      </c>
      <c r="D14" s="3" t="s">
        <v>96</v>
      </c>
      <c r="E14" s="3" t="s">
        <v>81</v>
      </c>
      <c r="G14" s="3" t="s">
        <v>109</v>
      </c>
      <c r="H14" s="3" t="s">
        <v>83</v>
      </c>
      <c r="J14" s="3" t="s">
        <v>119</v>
      </c>
      <c r="K14" s="3" t="s">
        <v>131</v>
      </c>
      <c r="M14" s="3" t="s">
        <v>133</v>
      </c>
      <c r="N14" s="3" t="s">
        <v>140</v>
      </c>
      <c r="P14" s="3" t="s">
        <v>424</v>
      </c>
      <c r="Q14" s="3" t="s">
        <v>130</v>
      </c>
      <c r="S14" s="3" t="s">
        <v>442</v>
      </c>
      <c r="V14" s="3" t="s">
        <v>463</v>
      </c>
      <c r="W14" s="3" t="s">
        <v>130</v>
      </c>
      <c r="Y14" s="3" t="s">
        <v>483</v>
      </c>
      <c r="AB14" s="3" t="s">
        <v>640</v>
      </c>
      <c r="AC14" s="3" t="s">
        <v>650</v>
      </c>
      <c r="AE14" s="3" t="s">
        <v>653</v>
      </c>
      <c r="AF14" s="3" t="s">
        <v>663</v>
      </c>
    </row>
    <row r="15" spans="1:32" s="3" customFormat="1" ht="13.2" x14ac:dyDescent="0.25">
      <c r="A15" s="3" t="s">
        <v>90</v>
      </c>
      <c r="B15" s="3" t="s">
        <v>88</v>
      </c>
      <c r="D15" s="3" t="s">
        <v>97</v>
      </c>
      <c r="E15" s="3" t="s">
        <v>82</v>
      </c>
      <c r="G15" s="3" t="s">
        <v>110</v>
      </c>
      <c r="H15" s="3" t="s">
        <v>84</v>
      </c>
      <c r="J15" s="3" t="s">
        <v>120</v>
      </c>
      <c r="K15" s="3" t="s">
        <v>132</v>
      </c>
      <c r="M15" s="3" t="s">
        <v>134</v>
      </c>
      <c r="N15" s="3" t="s">
        <v>141</v>
      </c>
      <c r="P15" s="3" t="s">
        <v>779</v>
      </c>
      <c r="S15" s="3" t="s">
        <v>443</v>
      </c>
      <c r="V15" s="3" t="s">
        <v>464</v>
      </c>
      <c r="W15" s="3" t="s">
        <v>129</v>
      </c>
      <c r="Y15" s="3" t="s">
        <v>484</v>
      </c>
      <c r="AB15" s="3" t="s">
        <v>641</v>
      </c>
      <c r="AC15" s="3" t="s">
        <v>651</v>
      </c>
      <c r="AE15" s="3" t="s">
        <v>654</v>
      </c>
      <c r="AF15" s="3" t="s">
        <v>664</v>
      </c>
    </row>
    <row r="16" spans="1:32" s="3" customFormat="1" ht="13.2" x14ac:dyDescent="0.25">
      <c r="A16" s="3" t="s">
        <v>91</v>
      </c>
      <c r="B16" s="3" t="s">
        <v>687</v>
      </c>
      <c r="D16" s="3" t="s">
        <v>98</v>
      </c>
      <c r="E16" s="3" t="s">
        <v>687</v>
      </c>
      <c r="G16" s="3" t="s">
        <v>111</v>
      </c>
      <c r="H16" s="3" t="s">
        <v>687</v>
      </c>
      <c r="J16" s="3" t="s">
        <v>121</v>
      </c>
      <c r="M16" s="3" t="s">
        <v>135</v>
      </c>
      <c r="P16" s="3" t="s">
        <v>425</v>
      </c>
      <c r="Q16" s="3" t="s">
        <v>129</v>
      </c>
      <c r="S16" s="3" t="s">
        <v>444</v>
      </c>
      <c r="V16" s="3" t="s">
        <v>465</v>
      </c>
      <c r="W16" s="3" t="s">
        <v>396</v>
      </c>
      <c r="Y16" s="3" t="s">
        <v>485</v>
      </c>
      <c r="AB16" s="3" t="s">
        <v>642</v>
      </c>
      <c r="AC16" s="3" t="s">
        <v>687</v>
      </c>
      <c r="AE16" s="3" t="s">
        <v>655</v>
      </c>
    </row>
    <row r="17" spans="1:32" s="3" customFormat="1" ht="13.2" x14ac:dyDescent="0.25">
      <c r="A17" s="3" t="s">
        <v>1152</v>
      </c>
      <c r="B17" s="3" t="s">
        <v>1160</v>
      </c>
      <c r="D17" s="3" t="s">
        <v>1172</v>
      </c>
      <c r="E17" s="3" t="s">
        <v>1160</v>
      </c>
      <c r="G17" s="3" t="s">
        <v>1157</v>
      </c>
      <c r="H17" s="3" t="s">
        <v>1160</v>
      </c>
      <c r="J17" s="3" t="s">
        <v>122</v>
      </c>
      <c r="M17" s="3" t="s">
        <v>136</v>
      </c>
      <c r="P17" s="3" t="s">
        <v>426</v>
      </c>
      <c r="Q17" s="3" t="s">
        <v>396</v>
      </c>
      <c r="S17" s="3" t="s">
        <v>445</v>
      </c>
      <c r="V17" s="3" t="s">
        <v>466</v>
      </c>
      <c r="W17" s="3" t="s">
        <v>397</v>
      </c>
      <c r="Y17" s="3" t="s">
        <v>486</v>
      </c>
      <c r="AB17" s="3" t="s">
        <v>1150</v>
      </c>
      <c r="AC17" s="3" t="s">
        <v>1160</v>
      </c>
      <c r="AE17" s="3" t="s">
        <v>656</v>
      </c>
    </row>
    <row r="18" spans="1:32" s="3" customFormat="1" ht="13.2" x14ac:dyDescent="0.25">
      <c r="A18" s="3" t="s">
        <v>92</v>
      </c>
      <c r="B18" s="3" t="s">
        <v>158</v>
      </c>
      <c r="D18" s="3" t="s">
        <v>99</v>
      </c>
      <c r="E18" s="3" t="s">
        <v>158</v>
      </c>
      <c r="G18" s="3" t="s">
        <v>112</v>
      </c>
      <c r="H18" s="3" t="s">
        <v>158</v>
      </c>
      <c r="J18" s="3" t="s">
        <v>123</v>
      </c>
      <c r="M18" s="3" t="s">
        <v>137</v>
      </c>
      <c r="P18" s="3" t="s">
        <v>427</v>
      </c>
      <c r="Q18" s="3" t="s">
        <v>397</v>
      </c>
      <c r="S18" s="3" t="s">
        <v>446</v>
      </c>
      <c r="V18" s="3" t="s">
        <v>467</v>
      </c>
      <c r="W18" s="3" t="s">
        <v>398</v>
      </c>
      <c r="Y18" s="3" t="s">
        <v>487</v>
      </c>
      <c r="AB18" s="3" t="s">
        <v>643</v>
      </c>
      <c r="AC18" s="3" t="s">
        <v>1024</v>
      </c>
      <c r="AE18" s="3" t="s">
        <v>657</v>
      </c>
    </row>
    <row r="19" spans="1:32" s="3" customFormat="1" ht="13.2" x14ac:dyDescent="0.25">
      <c r="A19" s="3" t="s">
        <v>1153</v>
      </c>
      <c r="B19" s="3" t="s">
        <v>1161</v>
      </c>
      <c r="D19" s="3" t="s">
        <v>1173</v>
      </c>
      <c r="E19" s="3" t="s">
        <v>1161</v>
      </c>
      <c r="G19" s="3" t="s">
        <v>1158</v>
      </c>
      <c r="H19" s="3" t="s">
        <v>1161</v>
      </c>
      <c r="J19" s="3" t="s">
        <v>124</v>
      </c>
      <c r="K19" s="3" t="s">
        <v>160</v>
      </c>
      <c r="M19" s="3" t="s">
        <v>138</v>
      </c>
      <c r="P19" s="3" t="s">
        <v>428</v>
      </c>
      <c r="Q19" s="3" t="s">
        <v>398</v>
      </c>
      <c r="S19" s="3" t="s">
        <v>447</v>
      </c>
      <c r="V19" s="3" t="s">
        <v>468</v>
      </c>
      <c r="W19" s="3" t="s">
        <v>400</v>
      </c>
      <c r="Y19" s="3" t="s">
        <v>488</v>
      </c>
      <c r="AB19" s="3" t="s">
        <v>1184</v>
      </c>
      <c r="AC19" s="3" t="s">
        <v>1183</v>
      </c>
      <c r="AE19" s="3" t="s">
        <v>658</v>
      </c>
    </row>
    <row r="20" spans="1:32" s="3" customFormat="1" ht="13.2" x14ac:dyDescent="0.25">
      <c r="A20" s="3" t="s">
        <v>93</v>
      </c>
      <c r="B20" s="3" t="s">
        <v>159</v>
      </c>
      <c r="D20" s="3" t="s">
        <v>100</v>
      </c>
      <c r="E20" s="3" t="s">
        <v>159</v>
      </c>
      <c r="G20" s="3" t="s">
        <v>113</v>
      </c>
      <c r="H20" s="3" t="s">
        <v>159</v>
      </c>
      <c r="J20" s="3" t="s">
        <v>125</v>
      </c>
      <c r="K20" s="3" t="s">
        <v>161</v>
      </c>
      <c r="M20" s="3" t="s">
        <v>139</v>
      </c>
      <c r="P20" s="3" t="s">
        <v>429</v>
      </c>
      <c r="Q20" s="3" t="s">
        <v>400</v>
      </c>
      <c r="S20" s="3" t="s">
        <v>448</v>
      </c>
      <c r="V20" s="3" t="s">
        <v>469</v>
      </c>
      <c r="W20" s="3" t="s">
        <v>399</v>
      </c>
      <c r="Y20" s="3" t="s">
        <v>489</v>
      </c>
      <c r="AB20" s="3" t="s">
        <v>644</v>
      </c>
      <c r="AC20" s="55" t="s">
        <v>1187</v>
      </c>
      <c r="AE20" s="3" t="s">
        <v>659</v>
      </c>
    </row>
    <row r="21" spans="1:32" s="3" customFormat="1" ht="13.2" x14ac:dyDescent="0.25">
      <c r="A21" s="3" t="s">
        <v>1156</v>
      </c>
      <c r="B21" s="3" t="s">
        <v>1162</v>
      </c>
      <c r="D21" s="3" t="s">
        <v>1174</v>
      </c>
      <c r="E21" s="3" t="s">
        <v>1162</v>
      </c>
      <c r="G21" s="3" t="s">
        <v>1159</v>
      </c>
      <c r="H21" s="3" t="s">
        <v>1162</v>
      </c>
      <c r="J21" s="3" t="s">
        <v>126</v>
      </c>
      <c r="K21" s="3" t="s">
        <v>624</v>
      </c>
      <c r="M21" s="3" t="s">
        <v>621</v>
      </c>
      <c r="N21" s="3" t="s">
        <v>667</v>
      </c>
      <c r="P21" s="3" t="s">
        <v>430</v>
      </c>
      <c r="Q21" s="3" t="s">
        <v>399</v>
      </c>
      <c r="S21" s="3" t="s">
        <v>449</v>
      </c>
      <c r="V21" s="3" t="s">
        <v>470</v>
      </c>
      <c r="W21" s="3" t="s">
        <v>460</v>
      </c>
      <c r="Y21" s="3" t="s">
        <v>490</v>
      </c>
      <c r="AB21" s="3" t="s">
        <v>1185</v>
      </c>
      <c r="AC21" s="55" t="s">
        <v>1187</v>
      </c>
      <c r="AE21" s="3" t="s">
        <v>660</v>
      </c>
      <c r="AF21" s="3" t="s">
        <v>669</v>
      </c>
    </row>
    <row r="22" spans="1:32" s="3" customFormat="1" ht="13.2" x14ac:dyDescent="0.25">
      <c r="A22" s="3" t="s">
        <v>94</v>
      </c>
      <c r="B22" s="3" t="s">
        <v>160</v>
      </c>
      <c r="D22" s="3" t="s">
        <v>101</v>
      </c>
      <c r="E22" s="3" t="s">
        <v>160</v>
      </c>
      <c r="G22" s="3" t="s">
        <v>114</v>
      </c>
      <c r="H22" s="3" t="s">
        <v>160</v>
      </c>
      <c r="J22" s="3" t="s">
        <v>127</v>
      </c>
      <c r="K22" s="3" t="s">
        <v>625</v>
      </c>
      <c r="M22" s="3" t="s">
        <v>622</v>
      </c>
      <c r="N22" s="3" t="s">
        <v>668</v>
      </c>
      <c r="P22" s="3" t="s">
        <v>431</v>
      </c>
      <c r="Q22" s="3" t="s">
        <v>460</v>
      </c>
      <c r="S22" s="3" t="s">
        <v>450</v>
      </c>
      <c r="V22" s="3" t="s">
        <v>471</v>
      </c>
      <c r="Y22" s="3" t="s">
        <v>491</v>
      </c>
      <c r="AB22" s="3" t="s">
        <v>645</v>
      </c>
      <c r="AC22" s="3" t="s">
        <v>160</v>
      </c>
      <c r="AE22" s="3" t="s">
        <v>661</v>
      </c>
      <c r="AF22" s="3" t="s">
        <v>670</v>
      </c>
    </row>
    <row r="23" spans="1:32" s="3" customFormat="1" ht="13.2" x14ac:dyDescent="0.25">
      <c r="A23" s="3" t="s">
        <v>95</v>
      </c>
      <c r="B23" s="3" t="s">
        <v>161</v>
      </c>
      <c r="D23" s="3" t="s">
        <v>102</v>
      </c>
      <c r="E23" s="3" t="s">
        <v>161</v>
      </c>
      <c r="G23" s="3" t="s">
        <v>115</v>
      </c>
      <c r="H23" s="3" t="s">
        <v>161</v>
      </c>
      <c r="J23" s="3" t="s">
        <v>128</v>
      </c>
      <c r="M23" s="3" t="s">
        <v>623</v>
      </c>
      <c r="P23" s="3" t="s">
        <v>432</v>
      </c>
      <c r="S23" s="3" t="s">
        <v>422</v>
      </c>
      <c r="V23" s="3" t="s">
        <v>472</v>
      </c>
      <c r="Y23" s="3" t="s">
        <v>492</v>
      </c>
      <c r="AB23" s="3" t="s">
        <v>646</v>
      </c>
      <c r="AC23" s="3" t="s">
        <v>161</v>
      </c>
      <c r="AE23" s="3" t="s">
        <v>662</v>
      </c>
    </row>
    <row r="24" spans="1:32" s="3" customFormat="1" ht="13.2" x14ac:dyDescent="0.25">
      <c r="A24" s="3" t="s">
        <v>104</v>
      </c>
      <c r="B24" s="3" t="s">
        <v>665</v>
      </c>
      <c r="D24" s="3" t="s">
        <v>106</v>
      </c>
      <c r="E24" s="3" t="s">
        <v>610</v>
      </c>
      <c r="G24" s="3" t="s">
        <v>116</v>
      </c>
      <c r="H24" s="3" t="s">
        <v>604</v>
      </c>
      <c r="J24" s="3" t="s">
        <v>724</v>
      </c>
      <c r="M24" s="3" t="s">
        <v>735</v>
      </c>
      <c r="P24" s="3" t="s">
        <v>418</v>
      </c>
      <c r="AB24" s="3" t="s">
        <v>647</v>
      </c>
      <c r="AC24" s="3" t="s">
        <v>1015</v>
      </c>
    </row>
    <row r="25" spans="1:32" s="3" customFormat="1" ht="13.2" x14ac:dyDescent="0.25">
      <c r="A25" s="3" t="s">
        <v>105</v>
      </c>
      <c r="B25" s="3" t="s">
        <v>666</v>
      </c>
      <c r="D25" s="3" t="s">
        <v>107</v>
      </c>
      <c r="E25" s="3" t="s">
        <v>611</v>
      </c>
      <c r="G25" s="3" t="s">
        <v>117</v>
      </c>
      <c r="H25" s="3" t="s">
        <v>605</v>
      </c>
      <c r="J25" s="3" t="s">
        <v>725</v>
      </c>
      <c r="M25" s="3" t="s">
        <v>736</v>
      </c>
      <c r="AB25" s="3" t="s">
        <v>648</v>
      </c>
      <c r="AC25" s="3" t="s">
        <v>1016</v>
      </c>
    </row>
    <row r="26" spans="1:32" s="3" customFormat="1" ht="13.2" x14ac:dyDescent="0.25">
      <c r="A26" s="3" t="s">
        <v>103</v>
      </c>
      <c r="D26" s="3" t="s">
        <v>108</v>
      </c>
      <c r="E26" s="3" t="s">
        <v>626</v>
      </c>
      <c r="G26" s="3" t="s">
        <v>118</v>
      </c>
      <c r="H26" s="3" t="s">
        <v>626</v>
      </c>
      <c r="J26" s="3" t="s">
        <v>726</v>
      </c>
      <c r="M26" s="3" t="s">
        <v>737</v>
      </c>
      <c r="P26" s="80" t="s">
        <v>419</v>
      </c>
      <c r="Q26" s="80"/>
      <c r="S26" s="80" t="s">
        <v>421</v>
      </c>
      <c r="T26" s="80"/>
      <c r="V26" s="80" t="s">
        <v>419</v>
      </c>
      <c r="W26" s="80"/>
      <c r="Y26" s="80" t="s">
        <v>421</v>
      </c>
      <c r="Z26" s="80"/>
      <c r="AB26" s="3" t="s">
        <v>649</v>
      </c>
      <c r="AC26" s="55" t="s">
        <v>1187</v>
      </c>
    </row>
    <row r="27" spans="1:32" s="3" customFormat="1" ht="13.2" x14ac:dyDescent="0.25">
      <c r="A27" s="3" t="s">
        <v>684</v>
      </c>
      <c r="D27" s="3" t="s">
        <v>671</v>
      </c>
      <c r="E27" s="3" t="s">
        <v>628</v>
      </c>
      <c r="G27" s="3" t="s">
        <v>627</v>
      </c>
      <c r="H27" s="3" t="s">
        <v>628</v>
      </c>
      <c r="J27" s="3" t="s">
        <v>727</v>
      </c>
      <c r="M27" s="3" t="s">
        <v>738</v>
      </c>
      <c r="N27" s="55" t="s">
        <v>734</v>
      </c>
      <c r="P27" s="3" t="s">
        <v>433</v>
      </c>
      <c r="S27" s="3" t="s">
        <v>451</v>
      </c>
      <c r="V27" s="3" t="s">
        <v>473</v>
      </c>
      <c r="Y27" s="3" t="s">
        <v>493</v>
      </c>
      <c r="AB27" s="3" t="s">
        <v>1017</v>
      </c>
      <c r="AC27" s="55" t="s">
        <v>1187</v>
      </c>
    </row>
    <row r="28" spans="1:32" s="3" customFormat="1" ht="13.2" x14ac:dyDescent="0.25">
      <c r="A28" s="3" t="s">
        <v>685</v>
      </c>
      <c r="B28" s="3" t="s">
        <v>675</v>
      </c>
      <c r="D28" s="3" t="s">
        <v>672</v>
      </c>
      <c r="E28" s="3" t="s">
        <v>675</v>
      </c>
      <c r="G28" s="3" t="s">
        <v>678</v>
      </c>
      <c r="H28" s="3" t="s">
        <v>675</v>
      </c>
      <c r="J28" s="3" t="s">
        <v>728</v>
      </c>
      <c r="K28" s="55" t="s">
        <v>734</v>
      </c>
      <c r="M28" s="3" t="s">
        <v>739</v>
      </c>
      <c r="N28" s="55" t="s">
        <v>734</v>
      </c>
      <c r="P28" s="3" t="s">
        <v>434</v>
      </c>
      <c r="S28" s="3" t="s">
        <v>452</v>
      </c>
      <c r="V28" s="3" t="s">
        <v>474</v>
      </c>
      <c r="Y28" s="3" t="s">
        <v>494</v>
      </c>
      <c r="AB28" s="3" t="s">
        <v>1018</v>
      </c>
      <c r="AC28" s="3" t="s">
        <v>675</v>
      </c>
    </row>
    <row r="29" spans="1:32" s="3" customFormat="1" ht="13.2" x14ac:dyDescent="0.25">
      <c r="A29" s="3" t="s">
        <v>686</v>
      </c>
      <c r="B29" s="3" t="s">
        <v>688</v>
      </c>
      <c r="D29" s="3" t="s">
        <v>689</v>
      </c>
      <c r="E29" s="3" t="s">
        <v>688</v>
      </c>
      <c r="G29" s="3" t="s">
        <v>690</v>
      </c>
      <c r="H29" s="3" t="s">
        <v>688</v>
      </c>
      <c r="J29" s="3" t="s">
        <v>729</v>
      </c>
      <c r="K29" s="55" t="s">
        <v>734</v>
      </c>
      <c r="M29" s="3" t="s">
        <v>740</v>
      </c>
      <c r="N29" s="3" t="s">
        <v>780</v>
      </c>
      <c r="P29" s="3" t="s">
        <v>435</v>
      </c>
      <c r="S29" s="3" t="s">
        <v>453</v>
      </c>
      <c r="V29" s="3" t="s">
        <v>475</v>
      </c>
      <c r="Y29" s="3" t="s">
        <v>495</v>
      </c>
      <c r="AB29" s="3" t="s">
        <v>1019</v>
      </c>
      <c r="AC29" s="3" t="s">
        <v>688</v>
      </c>
    </row>
    <row r="30" spans="1:32" s="3" customFormat="1" ht="13.2" x14ac:dyDescent="0.25">
      <c r="A30" s="3" t="s">
        <v>1178</v>
      </c>
      <c r="B30" s="3" t="s">
        <v>1177</v>
      </c>
      <c r="D30" s="3" t="s">
        <v>1175</v>
      </c>
      <c r="E30" s="3" t="s">
        <v>1171</v>
      </c>
      <c r="G30" s="3" t="s">
        <v>1176</v>
      </c>
      <c r="H30" s="3" t="s">
        <v>1177</v>
      </c>
      <c r="J30" s="3" t="s">
        <v>730</v>
      </c>
      <c r="K30" s="3" t="s">
        <v>780</v>
      </c>
      <c r="M30" s="3" t="s">
        <v>741</v>
      </c>
      <c r="P30" s="3" t="s">
        <v>436</v>
      </c>
      <c r="S30" s="3" t="s">
        <v>454</v>
      </c>
      <c r="V30" s="3" t="s">
        <v>476</v>
      </c>
      <c r="Y30" s="3" t="s">
        <v>496</v>
      </c>
      <c r="AB30" s="3" t="s">
        <v>1186</v>
      </c>
      <c r="AC30" s="3" t="s">
        <v>1177</v>
      </c>
    </row>
    <row r="31" spans="1:32" s="3" customFormat="1" ht="13.2" x14ac:dyDescent="0.25">
      <c r="A31" s="3" t="s">
        <v>705</v>
      </c>
      <c r="B31" s="3" t="s">
        <v>1014</v>
      </c>
      <c r="D31" s="3" t="s">
        <v>712</v>
      </c>
      <c r="E31" s="3" t="s">
        <v>1014</v>
      </c>
      <c r="G31" s="3" t="s">
        <v>699</v>
      </c>
      <c r="H31" s="3" t="s">
        <v>1014</v>
      </c>
      <c r="J31" s="3" t="s">
        <v>731</v>
      </c>
      <c r="M31" s="3" t="s">
        <v>742</v>
      </c>
      <c r="P31" s="3" t="s">
        <v>437</v>
      </c>
      <c r="S31" s="3" t="s">
        <v>455</v>
      </c>
      <c r="V31" s="3" t="s">
        <v>477</v>
      </c>
      <c r="Y31" s="3" t="s">
        <v>497</v>
      </c>
      <c r="AB31" s="3" t="s">
        <v>1020</v>
      </c>
      <c r="AC31" s="3" t="s">
        <v>1014</v>
      </c>
    </row>
    <row r="32" spans="1:32" s="3" customFormat="1" ht="13.2" x14ac:dyDescent="0.25">
      <c r="A32" s="3" t="s">
        <v>706</v>
      </c>
      <c r="B32" s="55" t="s">
        <v>734</v>
      </c>
      <c r="D32" s="3" t="s">
        <v>713</v>
      </c>
      <c r="E32" s="55" t="s">
        <v>734</v>
      </c>
      <c r="G32" s="3" t="s">
        <v>700</v>
      </c>
      <c r="H32" s="3" t="s">
        <v>701</v>
      </c>
      <c r="J32" s="3" t="s">
        <v>732</v>
      </c>
      <c r="M32" s="3" t="s">
        <v>743</v>
      </c>
      <c r="P32" s="3" t="s">
        <v>438</v>
      </c>
      <c r="S32" s="3" t="s">
        <v>456</v>
      </c>
      <c r="V32" s="3" t="s">
        <v>478</v>
      </c>
      <c r="Y32" s="3" t="s">
        <v>498</v>
      </c>
      <c r="AB32" s="3" t="s">
        <v>1191</v>
      </c>
      <c r="AC32" s="3" t="s">
        <v>1190</v>
      </c>
    </row>
    <row r="33" spans="1:29" s="3" customFormat="1" ht="13.2" x14ac:dyDescent="0.25">
      <c r="A33" s="3" t="s">
        <v>707</v>
      </c>
      <c r="B33" s="55" t="s">
        <v>734</v>
      </c>
      <c r="D33" s="3" t="s">
        <v>714</v>
      </c>
      <c r="E33" s="55" t="s">
        <v>734</v>
      </c>
      <c r="G33" s="3" t="s">
        <v>719</v>
      </c>
      <c r="H33" s="3" t="s">
        <v>702</v>
      </c>
      <c r="J33" s="3" t="s">
        <v>733</v>
      </c>
      <c r="M33" s="3" t="s">
        <v>744</v>
      </c>
      <c r="P33" s="3" t="s">
        <v>439</v>
      </c>
      <c r="S33" s="3" t="s">
        <v>457</v>
      </c>
      <c r="V33" s="3" t="s">
        <v>479</v>
      </c>
      <c r="Y33" s="3" t="s">
        <v>499</v>
      </c>
      <c r="AB33" s="3" t="s">
        <v>1021</v>
      </c>
      <c r="AC33" s="3" t="s">
        <v>701</v>
      </c>
    </row>
    <row r="34" spans="1:29" s="3" customFormat="1" ht="13.2" x14ac:dyDescent="0.25">
      <c r="A34" s="3" t="s">
        <v>708</v>
      </c>
      <c r="B34" s="3" t="s">
        <v>780</v>
      </c>
      <c r="D34" s="3" t="s">
        <v>715</v>
      </c>
      <c r="E34" s="3" t="s">
        <v>780</v>
      </c>
      <c r="G34" s="3" t="s">
        <v>720</v>
      </c>
      <c r="H34" s="3" t="s">
        <v>780</v>
      </c>
      <c r="P34" s="3" t="s">
        <v>440</v>
      </c>
      <c r="S34" s="3" t="s">
        <v>458</v>
      </c>
      <c r="V34" s="3" t="s">
        <v>480</v>
      </c>
      <c r="Y34" s="3" t="s">
        <v>500</v>
      </c>
      <c r="AB34" s="3" t="s">
        <v>1022</v>
      </c>
      <c r="AC34" s="3" t="s">
        <v>702</v>
      </c>
    </row>
    <row r="35" spans="1:29" s="3" customFormat="1" ht="13.2" x14ac:dyDescent="0.25">
      <c r="A35" s="3" t="s">
        <v>709</v>
      </c>
      <c r="D35" s="3" t="s">
        <v>716</v>
      </c>
      <c r="G35" s="3" t="s">
        <v>721</v>
      </c>
      <c r="P35" s="3" t="s">
        <v>441</v>
      </c>
      <c r="S35" s="3" t="s">
        <v>459</v>
      </c>
      <c r="V35" s="3" t="s">
        <v>481</v>
      </c>
      <c r="Y35" s="3" t="s">
        <v>501</v>
      </c>
      <c r="AB35" s="3" t="s">
        <v>1023</v>
      </c>
      <c r="AC35" s="3" t="s">
        <v>780</v>
      </c>
    </row>
    <row r="36" spans="1:29" s="3" customFormat="1" ht="13.2" x14ac:dyDescent="0.25">
      <c r="A36" s="3" t="s">
        <v>710</v>
      </c>
      <c r="D36" s="3" t="s">
        <v>717</v>
      </c>
      <c r="G36" s="3" t="s">
        <v>722</v>
      </c>
      <c r="S36" s="3" t="s">
        <v>423</v>
      </c>
      <c r="V36" s="3" t="s">
        <v>482</v>
      </c>
      <c r="Y36" s="3" t="s">
        <v>502</v>
      </c>
    </row>
    <row r="37" spans="1:29" s="3" customFormat="1" ht="13.2" x14ac:dyDescent="0.25">
      <c r="A37" s="3" t="s">
        <v>711</v>
      </c>
      <c r="D37" s="3" t="s">
        <v>718</v>
      </c>
      <c r="G37" s="3" t="s">
        <v>723</v>
      </c>
    </row>
    <row r="38" spans="1:29" s="3" customFormat="1" ht="13.2" x14ac:dyDescent="0.25"/>
    <row r="39" spans="1:29" s="3" customFormat="1" ht="13.2" x14ac:dyDescent="0.25"/>
    <row r="40" spans="1:29" s="3" customFormat="1" ht="13.2" x14ac:dyDescent="0.25"/>
    <row r="41" spans="1:29" s="3" customFormat="1" ht="13.2" x14ac:dyDescent="0.25">
      <c r="A41" s="80" t="s">
        <v>1154</v>
      </c>
      <c r="B41" s="80"/>
      <c r="D41" s="80" t="s">
        <v>1154</v>
      </c>
      <c r="E41" s="80"/>
      <c r="G41" s="80" t="s">
        <v>1154</v>
      </c>
      <c r="H41" s="80"/>
      <c r="AB41" s="80" t="s">
        <v>1154</v>
      </c>
      <c r="AC41" s="80"/>
    </row>
    <row r="42" spans="1:29" s="3" customFormat="1" ht="13.2" x14ac:dyDescent="0.25">
      <c r="A42" s="3" t="s">
        <v>142</v>
      </c>
      <c r="B42" s="3" t="s">
        <v>169</v>
      </c>
      <c r="D42" s="3" t="s">
        <v>149</v>
      </c>
      <c r="E42" s="3" t="s">
        <v>156</v>
      </c>
      <c r="G42" s="3" t="s">
        <v>171</v>
      </c>
      <c r="H42" s="3" t="s">
        <v>167</v>
      </c>
      <c r="AB42" s="3" t="s">
        <v>784</v>
      </c>
      <c r="AC42" s="3" t="s">
        <v>794</v>
      </c>
    </row>
    <row r="43" spans="1:29" s="3" customFormat="1" ht="13.2" x14ac:dyDescent="0.25">
      <c r="A43" s="3" t="s">
        <v>143</v>
      </c>
      <c r="B43" s="3" t="s">
        <v>170</v>
      </c>
      <c r="D43" s="3" t="s">
        <v>150</v>
      </c>
      <c r="E43" s="3" t="s">
        <v>157</v>
      </c>
      <c r="G43" s="3" t="s">
        <v>172</v>
      </c>
      <c r="H43" s="3" t="s">
        <v>168</v>
      </c>
      <c r="M43" s="3" t="s">
        <v>1152</v>
      </c>
      <c r="N43" s="3" t="s">
        <v>1172</v>
      </c>
      <c r="AB43" s="3" t="s">
        <v>785</v>
      </c>
      <c r="AC43" s="3" t="s">
        <v>795</v>
      </c>
    </row>
    <row r="44" spans="1:29" s="3" customFormat="1" ht="13.2" x14ac:dyDescent="0.25">
      <c r="A44" s="3" t="s">
        <v>144</v>
      </c>
      <c r="B44" s="3" t="s">
        <v>162</v>
      </c>
      <c r="D44" s="3" t="s">
        <v>151</v>
      </c>
      <c r="E44" s="3" t="s">
        <v>697</v>
      </c>
      <c r="G44" s="3" t="s">
        <v>173</v>
      </c>
      <c r="H44" s="3" t="s">
        <v>697</v>
      </c>
      <c r="M44" s="3" t="s">
        <v>1153</v>
      </c>
      <c r="N44" s="3" t="s">
        <v>1173</v>
      </c>
      <c r="AB44" s="3" t="s">
        <v>786</v>
      </c>
      <c r="AC44" s="3" t="s">
        <v>697</v>
      </c>
    </row>
    <row r="45" spans="1:29" s="3" customFormat="1" ht="13.2" x14ac:dyDescent="0.25">
      <c r="A45" s="3" t="s">
        <v>145</v>
      </c>
      <c r="B45" s="3" t="s">
        <v>163</v>
      </c>
      <c r="D45" s="3" t="s">
        <v>1179</v>
      </c>
      <c r="E45" s="3" t="s">
        <v>1163</v>
      </c>
      <c r="G45" s="3" t="s">
        <v>1167</v>
      </c>
      <c r="H45" s="3" t="s">
        <v>1163</v>
      </c>
      <c r="M45" s="3" t="s">
        <v>1156</v>
      </c>
      <c r="N45" s="3" t="s">
        <v>1174</v>
      </c>
      <c r="AB45" s="3" t="s">
        <v>1151</v>
      </c>
      <c r="AC45" s="3" t="s">
        <v>1163</v>
      </c>
    </row>
    <row r="46" spans="1:29" s="3" customFormat="1" ht="13.2" x14ac:dyDescent="0.25">
      <c r="A46" s="3" t="s">
        <v>146</v>
      </c>
      <c r="B46" s="3" t="s">
        <v>164</v>
      </c>
      <c r="D46" s="3" t="s">
        <v>152</v>
      </c>
      <c r="E46" s="3" t="s">
        <v>163</v>
      </c>
      <c r="G46" s="3" t="s">
        <v>174</v>
      </c>
      <c r="H46" s="3" t="s">
        <v>163</v>
      </c>
      <c r="M46" s="3" t="s">
        <v>1178</v>
      </c>
      <c r="N46" s="3" t="s">
        <v>1175</v>
      </c>
      <c r="AB46" s="3" t="s">
        <v>787</v>
      </c>
      <c r="AC46" s="3" t="s">
        <v>1028</v>
      </c>
    </row>
    <row r="47" spans="1:29" s="3" customFormat="1" ht="13.2" x14ac:dyDescent="0.25">
      <c r="A47" s="3" t="s">
        <v>147</v>
      </c>
      <c r="B47" s="3" t="s">
        <v>165</v>
      </c>
      <c r="D47" s="3" t="s">
        <v>1180</v>
      </c>
      <c r="E47" s="3" t="s">
        <v>1164</v>
      </c>
      <c r="G47" s="3" t="s">
        <v>1168</v>
      </c>
      <c r="H47" s="3" t="s">
        <v>1164</v>
      </c>
      <c r="AB47" s="3" t="s">
        <v>1195</v>
      </c>
      <c r="AC47" s="3" t="s">
        <v>1188</v>
      </c>
    </row>
    <row r="48" spans="1:29" s="3" customFormat="1" ht="13.2" x14ac:dyDescent="0.25">
      <c r="A48" s="3" t="s">
        <v>148</v>
      </c>
      <c r="B48" s="3" t="s">
        <v>166</v>
      </c>
      <c r="D48" s="3" t="s">
        <v>153</v>
      </c>
      <c r="E48" s="3" t="s">
        <v>164</v>
      </c>
      <c r="G48" s="3" t="s">
        <v>175</v>
      </c>
      <c r="H48" s="3" t="s">
        <v>164</v>
      </c>
      <c r="AB48" s="3" t="s">
        <v>788</v>
      </c>
      <c r="AC48" s="55" t="s">
        <v>1187</v>
      </c>
    </row>
    <row r="49" spans="1:29" s="3" customFormat="1" ht="13.2" x14ac:dyDescent="0.25">
      <c r="A49" s="3" t="s">
        <v>616</v>
      </c>
      <c r="D49" s="3" t="s">
        <v>1181</v>
      </c>
      <c r="E49" s="3" t="s">
        <v>1165</v>
      </c>
      <c r="G49" s="3" t="s">
        <v>1169</v>
      </c>
      <c r="H49" s="3" t="s">
        <v>1165</v>
      </c>
      <c r="AB49" s="3" t="s">
        <v>789</v>
      </c>
      <c r="AC49" s="3" t="s">
        <v>165</v>
      </c>
    </row>
    <row r="50" spans="1:29" s="3" customFormat="1" ht="13.2" x14ac:dyDescent="0.25">
      <c r="A50" s="3" t="s">
        <v>617</v>
      </c>
      <c r="D50" s="3" t="s">
        <v>154</v>
      </c>
      <c r="E50" s="3" t="s">
        <v>165</v>
      </c>
      <c r="G50" s="3" t="s">
        <v>176</v>
      </c>
      <c r="H50" s="3" t="s">
        <v>165</v>
      </c>
      <c r="AB50" s="3" t="s">
        <v>790</v>
      </c>
      <c r="AC50" s="3" t="s">
        <v>166</v>
      </c>
    </row>
    <row r="51" spans="1:29" s="3" customFormat="1" ht="13.2" x14ac:dyDescent="0.25">
      <c r="A51" s="3" t="s">
        <v>618</v>
      </c>
      <c r="D51" s="3" t="s">
        <v>155</v>
      </c>
      <c r="E51" s="3" t="s">
        <v>166</v>
      </c>
      <c r="G51" s="3" t="s">
        <v>177</v>
      </c>
      <c r="H51" s="3" t="s">
        <v>166</v>
      </c>
      <c r="AB51" s="3" t="s">
        <v>791</v>
      </c>
      <c r="AC51" s="3" t="s">
        <v>796</v>
      </c>
    </row>
    <row r="52" spans="1:29" s="3" customFormat="1" ht="13.2" x14ac:dyDescent="0.25">
      <c r="A52" s="3" t="s">
        <v>745</v>
      </c>
      <c r="D52" s="3" t="s">
        <v>612</v>
      </c>
      <c r="E52" s="3" t="s">
        <v>619</v>
      </c>
      <c r="G52" s="3" t="s">
        <v>606</v>
      </c>
      <c r="H52" s="3" t="s">
        <v>608</v>
      </c>
      <c r="AB52" s="3" t="s">
        <v>792</v>
      </c>
      <c r="AC52" s="3" t="s">
        <v>797</v>
      </c>
    </row>
    <row r="53" spans="1:29" s="3" customFormat="1" ht="13.2" x14ac:dyDescent="0.25">
      <c r="A53" s="3" t="s">
        <v>746</v>
      </c>
      <c r="D53" s="3" t="s">
        <v>613</v>
      </c>
      <c r="E53" s="3" t="s">
        <v>620</v>
      </c>
      <c r="G53" s="3" t="s">
        <v>607</v>
      </c>
      <c r="H53" s="3" t="s">
        <v>609</v>
      </c>
      <c r="AB53" s="3" t="s">
        <v>793</v>
      </c>
      <c r="AC53" s="55" t="s">
        <v>1187</v>
      </c>
    </row>
    <row r="54" spans="1:29" s="3" customFormat="1" ht="13.2" x14ac:dyDescent="0.25">
      <c r="A54" s="3" t="s">
        <v>747</v>
      </c>
      <c r="D54" s="3" t="s">
        <v>614</v>
      </c>
      <c r="E54" s="3" t="s">
        <v>630</v>
      </c>
      <c r="G54" s="3" t="s">
        <v>615</v>
      </c>
      <c r="H54" s="3" t="s">
        <v>630</v>
      </c>
      <c r="AB54" s="3" t="s">
        <v>1025</v>
      </c>
      <c r="AC54" s="55" t="s">
        <v>1187</v>
      </c>
    </row>
    <row r="55" spans="1:29" s="3" customFormat="1" ht="13.2" x14ac:dyDescent="0.25">
      <c r="A55" s="3" t="s">
        <v>748</v>
      </c>
      <c r="B55" s="55" t="s">
        <v>734</v>
      </c>
      <c r="D55" s="3" t="s">
        <v>673</v>
      </c>
      <c r="E55" s="3" t="s">
        <v>631</v>
      </c>
      <c r="G55" s="3" t="s">
        <v>629</v>
      </c>
      <c r="H55" s="3" t="s">
        <v>631</v>
      </c>
      <c r="AB55" s="3" t="s">
        <v>1026</v>
      </c>
      <c r="AC55" s="3" t="s">
        <v>675</v>
      </c>
    </row>
    <row r="56" spans="1:29" s="3" customFormat="1" ht="13.2" x14ac:dyDescent="0.25">
      <c r="A56" s="3" t="s">
        <v>749</v>
      </c>
      <c r="B56" s="55" t="s">
        <v>734</v>
      </c>
      <c r="D56" s="3" t="s">
        <v>674</v>
      </c>
      <c r="E56" s="3" t="s">
        <v>676</v>
      </c>
      <c r="G56" s="3" t="s">
        <v>677</v>
      </c>
      <c r="H56" s="3" t="s">
        <v>676</v>
      </c>
      <c r="AB56" s="3" t="s">
        <v>1027</v>
      </c>
      <c r="AC56" s="3" t="s">
        <v>698</v>
      </c>
    </row>
    <row r="57" spans="1:29" s="3" customFormat="1" ht="13.2" x14ac:dyDescent="0.25">
      <c r="A57" s="3" t="s">
        <v>750</v>
      </c>
      <c r="B57" s="3" t="s">
        <v>781</v>
      </c>
      <c r="D57" s="3" t="s">
        <v>691</v>
      </c>
      <c r="E57" s="3" t="s">
        <v>698</v>
      </c>
      <c r="G57" s="3" t="s">
        <v>694</v>
      </c>
      <c r="H57" s="3" t="s">
        <v>698</v>
      </c>
      <c r="AB57" s="3" t="s">
        <v>1193</v>
      </c>
      <c r="AC57" s="3" t="s">
        <v>1166</v>
      </c>
    </row>
    <row r="58" spans="1:29" s="3" customFormat="1" ht="13.2" x14ac:dyDescent="0.25">
      <c r="A58" s="3" t="s">
        <v>751</v>
      </c>
      <c r="D58" s="3" t="s">
        <v>1182</v>
      </c>
      <c r="E58" s="3" t="s">
        <v>1166</v>
      </c>
      <c r="G58" s="3" t="s">
        <v>1170</v>
      </c>
      <c r="H58" s="3" t="s">
        <v>1166</v>
      </c>
      <c r="AB58" s="3" t="s">
        <v>1029</v>
      </c>
      <c r="AC58" s="3" t="s">
        <v>1030</v>
      </c>
    </row>
    <row r="59" spans="1:29" s="3" customFormat="1" ht="13.2" x14ac:dyDescent="0.25">
      <c r="A59" s="3" t="s">
        <v>752</v>
      </c>
      <c r="D59" s="3" t="s">
        <v>692</v>
      </c>
      <c r="E59" s="3" t="s">
        <v>1030</v>
      </c>
      <c r="G59" s="3" t="s">
        <v>695</v>
      </c>
      <c r="H59" s="3" t="s">
        <v>703</v>
      </c>
      <c r="AB59" s="3" t="s">
        <v>1194</v>
      </c>
      <c r="AC59" s="3" t="s">
        <v>1192</v>
      </c>
    </row>
    <row r="60" spans="1:29" s="3" customFormat="1" ht="13.2" x14ac:dyDescent="0.25">
      <c r="A60" s="3" t="s">
        <v>753</v>
      </c>
      <c r="D60" s="3" t="s">
        <v>693</v>
      </c>
      <c r="E60" s="55" t="s">
        <v>734</v>
      </c>
      <c r="G60" s="3" t="s">
        <v>696</v>
      </c>
      <c r="H60" s="3" t="s">
        <v>704</v>
      </c>
    </row>
    <row r="61" spans="1:29" s="3" customFormat="1" ht="13.2" x14ac:dyDescent="0.25">
      <c r="A61" s="3" t="s">
        <v>754</v>
      </c>
      <c r="D61" s="3" t="s">
        <v>755</v>
      </c>
      <c r="E61" s="55" t="s">
        <v>734</v>
      </c>
      <c r="G61" s="3" t="s">
        <v>760</v>
      </c>
      <c r="H61" s="3" t="s">
        <v>781</v>
      </c>
    </row>
    <row r="62" spans="1:29" s="3" customFormat="1" ht="13.2" x14ac:dyDescent="0.25">
      <c r="D62" s="3" t="s">
        <v>756</v>
      </c>
      <c r="E62" s="3" t="s">
        <v>781</v>
      </c>
      <c r="G62" s="3" t="s">
        <v>761</v>
      </c>
    </row>
    <row r="63" spans="1:29" s="3" customFormat="1" ht="13.2" x14ac:dyDescent="0.25">
      <c r="D63" s="3" t="s">
        <v>757</v>
      </c>
      <c r="G63" s="3" t="s">
        <v>762</v>
      </c>
    </row>
    <row r="64" spans="1:29" s="3" customFormat="1" ht="13.2" x14ac:dyDescent="0.25">
      <c r="D64" s="3" t="s">
        <v>758</v>
      </c>
      <c r="G64" s="3" t="s">
        <v>763</v>
      </c>
    </row>
    <row r="65" spans="3:9" s="3" customFormat="1" ht="13.2" x14ac:dyDescent="0.25">
      <c r="D65" s="3" t="s">
        <v>759</v>
      </c>
      <c r="G65" s="3" t="s">
        <v>764</v>
      </c>
    </row>
    <row r="66" spans="3:9" s="3" customFormat="1" ht="13.2" x14ac:dyDescent="0.25"/>
    <row r="67" spans="3:9" s="3" customFormat="1" ht="13.2" x14ac:dyDescent="0.25"/>
    <row r="68" spans="3:9" s="3" customFormat="1" ht="13.2" x14ac:dyDescent="0.25"/>
    <row r="69" spans="3:9" s="3" customFormat="1" ht="13.2" x14ac:dyDescent="0.25"/>
    <row r="70" spans="3:9" s="3" customFormat="1" ht="13.2" x14ac:dyDescent="0.25"/>
    <row r="71" spans="3:9" s="3" customFormat="1" ht="13.2" x14ac:dyDescent="0.25"/>
    <row r="72" spans="3:9" s="3" customFormat="1" ht="13.2" x14ac:dyDescent="0.25"/>
    <row r="73" spans="3:9" x14ac:dyDescent="0.3">
      <c r="C73" s="3"/>
      <c r="D73" s="3"/>
      <c r="E73" s="3"/>
      <c r="F73" s="3"/>
      <c r="G73" s="3"/>
      <c r="H73" s="3"/>
      <c r="I73" s="3"/>
    </row>
    <row r="74" spans="3:9" x14ac:dyDescent="0.3">
      <c r="C74" s="3"/>
      <c r="D74" s="3"/>
      <c r="E74" s="3"/>
      <c r="F74" s="3"/>
      <c r="G74" s="3"/>
      <c r="H74" s="3"/>
      <c r="I74" s="3"/>
    </row>
    <row r="75" spans="3:9" x14ac:dyDescent="0.3">
      <c r="C75" s="3"/>
      <c r="D75" s="3"/>
      <c r="E75" s="3"/>
      <c r="F75" s="3"/>
      <c r="G75" s="3"/>
      <c r="H75" s="3"/>
      <c r="I75" s="3"/>
    </row>
    <row r="76" spans="3:9" x14ac:dyDescent="0.3">
      <c r="C76" s="3"/>
      <c r="D76" s="3"/>
      <c r="E76" s="3"/>
      <c r="F76" s="3"/>
      <c r="G76" s="3"/>
      <c r="H76" s="3"/>
      <c r="I76" s="3"/>
    </row>
    <row r="77" spans="3:9" x14ac:dyDescent="0.3">
      <c r="C77" s="3"/>
      <c r="D77" s="3"/>
      <c r="E77" s="3"/>
      <c r="F77" s="3"/>
      <c r="G77" s="3"/>
      <c r="H77" s="3"/>
      <c r="I77" s="3"/>
    </row>
    <row r="78" spans="3:9" x14ac:dyDescent="0.3">
      <c r="C78" s="3"/>
      <c r="D78" s="3"/>
      <c r="E78" s="3"/>
      <c r="F78" s="3"/>
      <c r="G78" s="3"/>
      <c r="H78" s="3"/>
      <c r="I78" s="3"/>
    </row>
    <row r="79" spans="3:9" x14ac:dyDescent="0.3">
      <c r="C79" s="3"/>
      <c r="D79" s="3"/>
      <c r="E79" s="3"/>
      <c r="F79" s="3"/>
      <c r="G79" s="3"/>
      <c r="H79" s="3"/>
      <c r="I79" s="3"/>
    </row>
    <row r="80" spans="3:9" x14ac:dyDescent="0.3">
      <c r="C80" s="3"/>
      <c r="D80" s="3"/>
      <c r="E80" s="3"/>
      <c r="F80" s="3"/>
      <c r="G80" s="3"/>
      <c r="H80" s="3"/>
      <c r="I80" s="3"/>
    </row>
    <row r="81" spans="3:9" x14ac:dyDescent="0.3">
      <c r="C81" s="3"/>
      <c r="D81" s="3"/>
      <c r="E81" s="3"/>
      <c r="F81" s="3"/>
      <c r="G81" s="3"/>
      <c r="H81" s="3"/>
      <c r="I81" s="3"/>
    </row>
    <row r="82" spans="3:9" x14ac:dyDescent="0.3">
      <c r="C82" s="3"/>
      <c r="D82" s="3"/>
      <c r="E82" s="3"/>
      <c r="F82" s="3"/>
      <c r="G82" s="3"/>
      <c r="H82" s="3"/>
      <c r="I82" s="3"/>
    </row>
    <row r="83" spans="3:9" x14ac:dyDescent="0.3">
      <c r="C83" s="3"/>
      <c r="D83" s="3"/>
      <c r="E83" s="3"/>
      <c r="F83" s="3"/>
      <c r="G83" s="3"/>
      <c r="H83" s="3"/>
      <c r="I83" s="3"/>
    </row>
    <row r="84" spans="3:9" x14ac:dyDescent="0.3">
      <c r="C84" s="3"/>
      <c r="D84" s="3"/>
      <c r="E84" s="3"/>
      <c r="F84" s="3"/>
      <c r="G84" s="3"/>
      <c r="H84" s="3"/>
      <c r="I84" s="3"/>
    </row>
    <row r="85" spans="3:9" x14ac:dyDescent="0.3">
      <c r="C85" s="3"/>
      <c r="D85" s="3"/>
      <c r="E85" s="3"/>
      <c r="F85" s="3"/>
      <c r="G85" s="3"/>
      <c r="H85" s="3"/>
      <c r="I85" s="3"/>
    </row>
    <row r="86" spans="3:9" x14ac:dyDescent="0.3">
      <c r="C86" s="3"/>
      <c r="D86" s="3"/>
      <c r="E86" s="3"/>
      <c r="F86" s="3"/>
      <c r="G86" s="3"/>
      <c r="H86" s="3"/>
      <c r="I86" s="3"/>
    </row>
    <row r="87" spans="3:9" x14ac:dyDescent="0.3">
      <c r="C87" s="3"/>
      <c r="D87" s="3"/>
      <c r="E87" s="3"/>
      <c r="F87" s="3"/>
      <c r="G87" s="3"/>
      <c r="H87" s="3"/>
      <c r="I87" s="3"/>
    </row>
    <row r="88" spans="3:9" x14ac:dyDescent="0.3">
      <c r="C88" s="3"/>
      <c r="D88" s="3"/>
      <c r="E88" s="3"/>
      <c r="F88" s="3"/>
      <c r="G88" s="3"/>
      <c r="H88" s="3"/>
      <c r="I88" s="3"/>
    </row>
    <row r="89" spans="3:9" x14ac:dyDescent="0.3">
      <c r="C89" s="3"/>
      <c r="D89" s="3"/>
      <c r="E89" s="3"/>
      <c r="F89" s="3"/>
      <c r="G89" s="3"/>
      <c r="H89" s="3"/>
      <c r="I89" s="3"/>
    </row>
    <row r="90" spans="3:9" x14ac:dyDescent="0.3">
      <c r="C90" s="3"/>
      <c r="D90" s="3"/>
      <c r="E90" s="3"/>
      <c r="F90" s="3"/>
      <c r="G90" s="3"/>
      <c r="H90" s="3"/>
      <c r="I90" s="3"/>
    </row>
    <row r="91" spans="3:9" x14ac:dyDescent="0.3">
      <c r="C91" s="3"/>
      <c r="D91" s="3"/>
      <c r="E91" s="3"/>
      <c r="F91" s="3"/>
      <c r="G91" s="3"/>
      <c r="H91" s="3"/>
      <c r="I91" s="3"/>
    </row>
    <row r="92" spans="3:9" x14ac:dyDescent="0.3">
      <c r="C92" s="3"/>
      <c r="D92" s="3"/>
      <c r="E92" s="3"/>
      <c r="F92" s="3"/>
      <c r="G92" s="3"/>
      <c r="H92" s="3"/>
      <c r="I92" s="3"/>
    </row>
    <row r="93" spans="3:9" x14ac:dyDescent="0.3">
      <c r="C93" s="3"/>
      <c r="D93" s="3"/>
      <c r="E93" s="3"/>
      <c r="F93" s="3"/>
      <c r="G93" s="3"/>
      <c r="H93" s="3"/>
      <c r="I93" s="3"/>
    </row>
    <row r="94" spans="3:9" x14ac:dyDescent="0.3">
      <c r="C94" s="3"/>
      <c r="D94" s="3"/>
      <c r="E94" s="3"/>
      <c r="F94" s="3"/>
      <c r="G94" s="3"/>
      <c r="H94" s="3"/>
      <c r="I94" s="3"/>
    </row>
    <row r="95" spans="3:9" x14ac:dyDescent="0.3">
      <c r="C95" s="3"/>
      <c r="D95" s="3"/>
      <c r="E95" s="3"/>
      <c r="F95" s="3"/>
      <c r="G95" s="3"/>
      <c r="H95" s="3"/>
      <c r="I95" s="3"/>
    </row>
    <row r="96" spans="3:9" x14ac:dyDescent="0.3">
      <c r="C96" s="3"/>
      <c r="D96" s="3"/>
      <c r="E96" s="3"/>
      <c r="F96" s="3"/>
      <c r="G96" s="3"/>
      <c r="H96" s="3"/>
      <c r="I96" s="3"/>
    </row>
    <row r="97" spans="1:9" x14ac:dyDescent="0.3">
      <c r="C97" s="3"/>
      <c r="D97" s="3"/>
      <c r="E97" s="3"/>
      <c r="F97" s="3"/>
      <c r="G97" s="3"/>
      <c r="H97" s="3"/>
      <c r="I97" s="3"/>
    </row>
    <row r="98" spans="1:9" x14ac:dyDescent="0.3">
      <c r="C98" s="3"/>
      <c r="D98" s="3"/>
      <c r="E98" s="3"/>
      <c r="F98" s="3"/>
      <c r="G98" s="3"/>
      <c r="H98" s="3"/>
      <c r="I98" s="3"/>
    </row>
    <row r="99" spans="1:9" x14ac:dyDescent="0.3">
      <c r="A99" s="3"/>
      <c r="B99" s="3"/>
      <c r="C99" s="3"/>
      <c r="D99" s="3"/>
      <c r="E99" s="3"/>
      <c r="F99" s="3"/>
      <c r="G99" s="3"/>
      <c r="H99" s="3"/>
      <c r="I99" s="3"/>
    </row>
  </sheetData>
  <mergeCells count="28">
    <mergeCell ref="AB10:AC10"/>
    <mergeCell ref="AE10:AF10"/>
    <mergeCell ref="V10:Z10"/>
    <mergeCell ref="P10:T10"/>
    <mergeCell ref="A10:B10"/>
    <mergeCell ref="J10:K10"/>
    <mergeCell ref="G10:H10"/>
    <mergeCell ref="D10:E10"/>
    <mergeCell ref="M10:N10"/>
    <mergeCell ref="A41:B41"/>
    <mergeCell ref="D41:E41"/>
    <mergeCell ref="G41:H41"/>
    <mergeCell ref="AB41:AC41"/>
    <mergeCell ref="A13:B13"/>
    <mergeCell ref="D13:E13"/>
    <mergeCell ref="G13:H13"/>
    <mergeCell ref="J13:K13"/>
    <mergeCell ref="M13:N13"/>
    <mergeCell ref="P13:Q13"/>
    <mergeCell ref="S13:T13"/>
    <mergeCell ref="V13:W13"/>
    <mergeCell ref="Y13:Z13"/>
    <mergeCell ref="AB13:AC13"/>
    <mergeCell ref="AE13:AF13"/>
    <mergeCell ref="P26:Q26"/>
    <mergeCell ref="S26:T26"/>
    <mergeCell ref="V26:W26"/>
    <mergeCell ref="Y26:Z26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A4C84-05DA-41C4-913B-7F18EA8D5607}">
  <dimension ref="A2:F80"/>
  <sheetViews>
    <sheetView topLeftCell="A7" workbookViewId="0">
      <selection activeCell="E20" sqref="E20"/>
    </sheetView>
  </sheetViews>
  <sheetFormatPr baseColWidth="10" defaultRowHeight="14.4" x14ac:dyDescent="0.3"/>
  <cols>
    <col min="1" max="1" width="12.44140625" customWidth="1"/>
    <col min="2" max="3" width="13.44140625" customWidth="1"/>
    <col min="4" max="4" width="15.109375" bestFit="1" customWidth="1"/>
    <col min="5" max="5" width="52.77734375" customWidth="1"/>
  </cols>
  <sheetData>
    <row r="2" spans="1:6" ht="23.4" x14ac:dyDescent="0.45">
      <c r="A2" s="82" t="s">
        <v>217</v>
      </c>
      <c r="B2" s="82"/>
      <c r="C2" s="82"/>
      <c r="D2" s="82"/>
      <c r="E2" s="82"/>
      <c r="F2" s="82"/>
    </row>
    <row r="5" spans="1:6" x14ac:dyDescent="0.3">
      <c r="A5" s="34" t="s">
        <v>216</v>
      </c>
      <c r="B5" s="34" t="s">
        <v>214</v>
      </c>
      <c r="C5" s="34" t="s">
        <v>218</v>
      </c>
      <c r="D5" s="34" t="s">
        <v>225</v>
      </c>
      <c r="E5" s="34" t="s">
        <v>215</v>
      </c>
    </row>
    <row r="6" spans="1:6" x14ac:dyDescent="0.3">
      <c r="A6" s="3" t="s">
        <v>89</v>
      </c>
      <c r="B6" s="35">
        <v>3903426059</v>
      </c>
      <c r="C6" s="35" t="s">
        <v>223</v>
      </c>
      <c r="D6" s="36">
        <v>9783903426054</v>
      </c>
      <c r="E6" s="3" t="s">
        <v>87</v>
      </c>
    </row>
    <row r="7" spans="1:6" x14ac:dyDescent="0.3">
      <c r="A7" s="3" t="s">
        <v>90</v>
      </c>
      <c r="B7" s="35">
        <v>3903426067</v>
      </c>
      <c r="C7" s="35" t="s">
        <v>222</v>
      </c>
      <c r="D7" s="36">
        <v>9783903426061</v>
      </c>
      <c r="E7" s="3" t="s">
        <v>88</v>
      </c>
    </row>
    <row r="8" spans="1:6" x14ac:dyDescent="0.3">
      <c r="B8" s="35"/>
      <c r="C8" s="35"/>
      <c r="D8" s="36"/>
    </row>
    <row r="9" spans="1:6" x14ac:dyDescent="0.3">
      <c r="A9" s="3" t="s">
        <v>96</v>
      </c>
      <c r="B9" s="35">
        <v>3903426016</v>
      </c>
      <c r="C9" s="35" t="s">
        <v>220</v>
      </c>
      <c r="D9" s="36">
        <v>9783903426016</v>
      </c>
      <c r="E9" s="3" t="s">
        <v>81</v>
      </c>
    </row>
    <row r="10" spans="1:6" x14ac:dyDescent="0.3">
      <c r="A10" s="3" t="s">
        <v>97</v>
      </c>
      <c r="B10" s="35">
        <v>3903426024</v>
      </c>
      <c r="C10" s="35" t="s">
        <v>221</v>
      </c>
      <c r="D10" s="36">
        <v>9783903426023</v>
      </c>
      <c r="E10" s="3" t="s">
        <v>82</v>
      </c>
    </row>
    <row r="11" spans="1:6" x14ac:dyDescent="0.3">
      <c r="A11" s="3" t="s">
        <v>149</v>
      </c>
      <c r="B11" s="35"/>
      <c r="C11" s="35"/>
      <c r="D11" s="36">
        <v>9783903426092</v>
      </c>
      <c r="E11" s="3" t="s">
        <v>156</v>
      </c>
    </row>
    <row r="12" spans="1:6" x14ac:dyDescent="0.3">
      <c r="A12" s="3" t="s">
        <v>150</v>
      </c>
      <c r="B12" s="35"/>
      <c r="C12" s="35"/>
      <c r="D12" s="36">
        <v>9783903426108</v>
      </c>
      <c r="E12" s="3" t="s">
        <v>157</v>
      </c>
    </row>
    <row r="13" spans="1:6" x14ac:dyDescent="0.3">
      <c r="B13" s="35"/>
      <c r="C13" s="35"/>
      <c r="D13" s="36"/>
    </row>
    <row r="14" spans="1:6" x14ac:dyDescent="0.3">
      <c r="A14" s="3" t="s">
        <v>109</v>
      </c>
      <c r="B14" s="35">
        <v>3903426032</v>
      </c>
      <c r="C14" s="35" t="s">
        <v>224</v>
      </c>
      <c r="D14" s="36">
        <v>9783903426030</v>
      </c>
      <c r="E14" s="3" t="s">
        <v>83</v>
      </c>
    </row>
    <row r="15" spans="1:6" x14ac:dyDescent="0.3">
      <c r="A15" s="3" t="s">
        <v>110</v>
      </c>
      <c r="B15" s="35">
        <v>3903426040</v>
      </c>
      <c r="C15" s="35" t="s">
        <v>219</v>
      </c>
      <c r="D15" s="36">
        <v>9783903426047</v>
      </c>
      <c r="E15" s="3" t="s">
        <v>84</v>
      </c>
    </row>
    <row r="16" spans="1:6" x14ac:dyDescent="0.3">
      <c r="A16" s="3" t="s">
        <v>171</v>
      </c>
      <c r="B16" s="35"/>
      <c r="C16" s="35"/>
      <c r="D16" s="36">
        <v>9783903426078</v>
      </c>
      <c r="E16" s="3" t="s">
        <v>167</v>
      </c>
    </row>
    <row r="17" spans="1:5" x14ac:dyDescent="0.3">
      <c r="A17" s="3" t="s">
        <v>172</v>
      </c>
      <c r="B17" s="35"/>
      <c r="C17" s="35"/>
      <c r="D17" s="36">
        <v>9783903426085</v>
      </c>
      <c r="E17" s="3" t="s">
        <v>168</v>
      </c>
    </row>
    <row r="18" spans="1:5" x14ac:dyDescent="0.3">
      <c r="B18" s="35"/>
      <c r="C18" s="35"/>
      <c r="D18" s="36"/>
    </row>
    <row r="19" spans="1:5" x14ac:dyDescent="0.3">
      <c r="B19" s="35"/>
      <c r="C19" s="35"/>
      <c r="D19" s="35"/>
    </row>
    <row r="20" spans="1:5" x14ac:dyDescent="0.3">
      <c r="B20" s="35"/>
      <c r="C20" s="35"/>
      <c r="D20" s="35"/>
    </row>
    <row r="21" spans="1:5" x14ac:dyDescent="0.3">
      <c r="B21" s="35"/>
      <c r="C21" s="35"/>
      <c r="D21" s="35"/>
    </row>
    <row r="22" spans="1:5" x14ac:dyDescent="0.3">
      <c r="B22" s="35"/>
      <c r="C22" s="35"/>
      <c r="D22" s="35"/>
    </row>
    <row r="23" spans="1:5" x14ac:dyDescent="0.3">
      <c r="B23" s="35"/>
      <c r="C23" s="35"/>
      <c r="D23" s="35"/>
    </row>
    <row r="24" spans="1:5" x14ac:dyDescent="0.3">
      <c r="B24" s="35"/>
      <c r="C24" s="35"/>
      <c r="D24" s="35"/>
    </row>
    <row r="25" spans="1:5" x14ac:dyDescent="0.3">
      <c r="B25" s="35"/>
      <c r="C25" s="35"/>
      <c r="D25" s="35"/>
    </row>
    <row r="26" spans="1:5" x14ac:dyDescent="0.3">
      <c r="B26" s="35"/>
      <c r="C26" s="35"/>
      <c r="D26" s="35"/>
    </row>
    <row r="27" spans="1:5" x14ac:dyDescent="0.3">
      <c r="B27" s="35"/>
      <c r="C27" s="35"/>
      <c r="D27" s="35"/>
    </row>
    <row r="28" spans="1:5" x14ac:dyDescent="0.3">
      <c r="B28" s="35"/>
      <c r="C28" s="35"/>
      <c r="D28" s="35"/>
    </row>
    <row r="29" spans="1:5" x14ac:dyDescent="0.3">
      <c r="B29" s="35"/>
      <c r="C29" s="35"/>
      <c r="D29" s="35"/>
    </row>
    <row r="30" spans="1:5" x14ac:dyDescent="0.3">
      <c r="B30" s="35"/>
      <c r="C30" s="35"/>
      <c r="D30" s="35"/>
    </row>
    <row r="31" spans="1:5" x14ac:dyDescent="0.3">
      <c r="B31" s="35"/>
      <c r="C31" s="35"/>
      <c r="D31" s="35"/>
    </row>
    <row r="32" spans="1:5" x14ac:dyDescent="0.3">
      <c r="B32" s="35"/>
      <c r="C32" s="35"/>
      <c r="D32" s="35"/>
    </row>
    <row r="33" spans="2:4" x14ac:dyDescent="0.3">
      <c r="B33" s="35"/>
      <c r="C33" s="35"/>
      <c r="D33" s="35"/>
    </row>
    <row r="34" spans="2:4" x14ac:dyDescent="0.3">
      <c r="B34" s="35"/>
      <c r="C34" s="35"/>
      <c r="D34" s="35"/>
    </row>
    <row r="35" spans="2:4" x14ac:dyDescent="0.3">
      <c r="B35" s="35"/>
      <c r="C35" s="35"/>
      <c r="D35" s="35"/>
    </row>
    <row r="36" spans="2:4" x14ac:dyDescent="0.3">
      <c r="B36" s="35"/>
      <c r="C36" s="35"/>
      <c r="D36" s="35"/>
    </row>
    <row r="37" spans="2:4" x14ac:dyDescent="0.3">
      <c r="B37" s="35"/>
      <c r="C37" s="35"/>
      <c r="D37" s="35"/>
    </row>
    <row r="38" spans="2:4" x14ac:dyDescent="0.3">
      <c r="B38" s="35"/>
      <c r="C38" s="35"/>
      <c r="D38" s="35"/>
    </row>
    <row r="39" spans="2:4" x14ac:dyDescent="0.3">
      <c r="B39" s="35"/>
      <c r="C39" s="35"/>
      <c r="D39" s="35"/>
    </row>
    <row r="40" spans="2:4" x14ac:dyDescent="0.3">
      <c r="B40" s="35"/>
      <c r="C40" s="35"/>
      <c r="D40" s="35"/>
    </row>
    <row r="41" spans="2:4" x14ac:dyDescent="0.3">
      <c r="B41" s="35"/>
      <c r="C41" s="35"/>
      <c r="D41" s="35"/>
    </row>
    <row r="42" spans="2:4" x14ac:dyDescent="0.3">
      <c r="B42" s="35"/>
      <c r="C42" s="35"/>
      <c r="D42" s="35"/>
    </row>
    <row r="43" spans="2:4" x14ac:dyDescent="0.3">
      <c r="B43" s="35"/>
      <c r="C43" s="35"/>
      <c r="D43" s="35"/>
    </row>
    <row r="44" spans="2:4" x14ac:dyDescent="0.3">
      <c r="B44" s="35"/>
      <c r="C44" s="35"/>
      <c r="D44" s="35"/>
    </row>
    <row r="45" spans="2:4" x14ac:dyDescent="0.3">
      <c r="B45" s="35"/>
      <c r="C45" s="35"/>
      <c r="D45" s="35"/>
    </row>
    <row r="46" spans="2:4" x14ac:dyDescent="0.3">
      <c r="B46" s="35"/>
      <c r="C46" s="35"/>
      <c r="D46" s="35"/>
    </row>
    <row r="47" spans="2:4" x14ac:dyDescent="0.3">
      <c r="B47" s="35"/>
      <c r="C47" s="35"/>
      <c r="D47" s="35"/>
    </row>
    <row r="48" spans="2:4" x14ac:dyDescent="0.3">
      <c r="B48" s="35"/>
      <c r="C48" s="35"/>
      <c r="D48" s="35"/>
    </row>
    <row r="49" spans="2:4" x14ac:dyDescent="0.3">
      <c r="B49" s="35"/>
      <c r="C49" s="35"/>
      <c r="D49" s="35"/>
    </row>
    <row r="50" spans="2:4" x14ac:dyDescent="0.3">
      <c r="B50" s="35"/>
      <c r="C50" s="35"/>
      <c r="D50" s="35"/>
    </row>
    <row r="51" spans="2:4" x14ac:dyDescent="0.3">
      <c r="B51" s="35"/>
      <c r="C51" s="35"/>
      <c r="D51" s="35"/>
    </row>
    <row r="52" spans="2:4" x14ac:dyDescent="0.3">
      <c r="B52" s="35"/>
      <c r="C52" s="35"/>
      <c r="D52" s="35"/>
    </row>
    <row r="53" spans="2:4" x14ac:dyDescent="0.3">
      <c r="B53" s="35"/>
      <c r="C53" s="35"/>
      <c r="D53" s="35"/>
    </row>
    <row r="54" spans="2:4" x14ac:dyDescent="0.3">
      <c r="B54" s="35"/>
      <c r="C54" s="35"/>
      <c r="D54" s="35"/>
    </row>
    <row r="55" spans="2:4" x14ac:dyDescent="0.3">
      <c r="B55" s="35"/>
      <c r="C55" s="35"/>
      <c r="D55" s="35"/>
    </row>
    <row r="56" spans="2:4" x14ac:dyDescent="0.3">
      <c r="B56" s="35"/>
      <c r="C56" s="35"/>
      <c r="D56" s="35"/>
    </row>
    <row r="57" spans="2:4" x14ac:dyDescent="0.3">
      <c r="B57" s="35"/>
      <c r="C57" s="35"/>
      <c r="D57" s="35"/>
    </row>
    <row r="58" spans="2:4" x14ac:dyDescent="0.3">
      <c r="B58" s="35"/>
      <c r="C58" s="35"/>
      <c r="D58" s="35"/>
    </row>
    <row r="59" spans="2:4" x14ac:dyDescent="0.3">
      <c r="C59" s="35"/>
      <c r="D59" s="35"/>
    </row>
    <row r="60" spans="2:4" x14ac:dyDescent="0.3">
      <c r="C60" s="35"/>
      <c r="D60" s="35"/>
    </row>
    <row r="61" spans="2:4" x14ac:dyDescent="0.3">
      <c r="C61" s="35"/>
      <c r="D61" s="35"/>
    </row>
    <row r="62" spans="2:4" x14ac:dyDescent="0.3">
      <c r="C62" s="35"/>
      <c r="D62" s="35"/>
    </row>
    <row r="63" spans="2:4" x14ac:dyDescent="0.3">
      <c r="C63" s="35"/>
      <c r="D63" s="35"/>
    </row>
    <row r="64" spans="2:4" x14ac:dyDescent="0.3">
      <c r="C64" s="35"/>
      <c r="D64" s="35"/>
    </row>
    <row r="65" spans="3:4" x14ac:dyDescent="0.3">
      <c r="C65" s="35"/>
      <c r="D65" s="35"/>
    </row>
    <row r="66" spans="3:4" x14ac:dyDescent="0.3">
      <c r="C66" s="35"/>
      <c r="D66" s="35"/>
    </row>
    <row r="67" spans="3:4" x14ac:dyDescent="0.3">
      <c r="C67" s="35"/>
      <c r="D67" s="35"/>
    </row>
    <row r="68" spans="3:4" x14ac:dyDescent="0.3">
      <c r="C68" s="35"/>
      <c r="D68" s="35"/>
    </row>
    <row r="69" spans="3:4" x14ac:dyDescent="0.3">
      <c r="C69" s="35"/>
      <c r="D69" s="35"/>
    </row>
    <row r="70" spans="3:4" x14ac:dyDescent="0.3">
      <c r="C70" s="35"/>
      <c r="D70" s="35"/>
    </row>
    <row r="71" spans="3:4" x14ac:dyDescent="0.3">
      <c r="C71" s="35"/>
      <c r="D71" s="35"/>
    </row>
    <row r="72" spans="3:4" x14ac:dyDescent="0.3">
      <c r="C72" s="35"/>
      <c r="D72" s="35"/>
    </row>
    <row r="73" spans="3:4" x14ac:dyDescent="0.3">
      <c r="C73" s="35"/>
      <c r="D73" s="35"/>
    </row>
    <row r="74" spans="3:4" x14ac:dyDescent="0.3">
      <c r="C74" s="35"/>
      <c r="D74" s="35"/>
    </row>
    <row r="75" spans="3:4" x14ac:dyDescent="0.3">
      <c r="C75" s="35"/>
      <c r="D75" s="35"/>
    </row>
    <row r="76" spans="3:4" x14ac:dyDescent="0.3">
      <c r="C76" s="35"/>
      <c r="D76" s="35"/>
    </row>
    <row r="77" spans="3:4" x14ac:dyDescent="0.3">
      <c r="C77" s="35"/>
      <c r="D77" s="35"/>
    </row>
    <row r="78" spans="3:4" x14ac:dyDescent="0.3">
      <c r="C78" s="35"/>
      <c r="D78" s="35"/>
    </row>
    <row r="79" spans="3:4" x14ac:dyDescent="0.3">
      <c r="C79" s="35"/>
      <c r="D79" s="35"/>
    </row>
    <row r="80" spans="3:4" x14ac:dyDescent="0.3">
      <c r="C80" s="35"/>
      <c r="D80" s="35"/>
    </row>
  </sheetData>
  <mergeCells count="1">
    <mergeCell ref="A2:F2"/>
  </mergeCells>
  <phoneticPr fontId="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EDF4-EE96-41C2-A981-C48B6CF83492}">
  <sheetPr>
    <pageSetUpPr fitToPage="1"/>
  </sheetPr>
  <dimension ref="A1:G154"/>
  <sheetViews>
    <sheetView topLeftCell="A129" zoomScale="145" zoomScaleNormal="145" zoomScalePageLayoutView="130" workbookViewId="0">
      <selection activeCell="B137" sqref="B137"/>
    </sheetView>
  </sheetViews>
  <sheetFormatPr baseColWidth="10" defaultColWidth="11" defaultRowHeight="13.8" x14ac:dyDescent="0.3"/>
  <cols>
    <col min="1" max="1" width="8.21875" style="5" customWidth="1"/>
    <col min="2" max="2" width="38.33203125" style="5" bestFit="1" customWidth="1"/>
    <col min="3" max="3" width="32.77734375" style="7" bestFit="1" customWidth="1"/>
    <col min="4" max="4" width="3.77734375" style="26" bestFit="1" customWidth="1"/>
    <col min="5" max="5" width="7.77734375" style="6" hidden="1" customWidth="1"/>
    <col min="6" max="6" width="7.77734375" style="5" customWidth="1"/>
    <col min="7" max="7" width="9.77734375" style="5" hidden="1" customWidth="1"/>
    <col min="8" max="16384" width="11" style="5"/>
  </cols>
  <sheetData>
    <row r="1" spans="1:7" s="8" customFormat="1" ht="15" x14ac:dyDescent="0.3">
      <c r="A1" s="84" t="s">
        <v>194</v>
      </c>
      <c r="B1" s="84"/>
      <c r="C1" s="84"/>
      <c r="D1" s="84"/>
      <c r="E1" s="84"/>
      <c r="F1" s="84"/>
      <c r="G1" s="84"/>
    </row>
    <row r="2" spans="1:7" x14ac:dyDescent="0.3">
      <c r="A2" s="85" t="s">
        <v>518</v>
      </c>
      <c r="B2" s="85"/>
      <c r="C2" s="85"/>
      <c r="D2" s="85"/>
      <c r="E2" s="85"/>
      <c r="F2" s="85"/>
    </row>
    <row r="3" spans="1:7" ht="6.75" customHeight="1" x14ac:dyDescent="0.3">
      <c r="F3" s="25"/>
      <c r="G3" s="25">
        <v>0.1</v>
      </c>
    </row>
    <row r="4" spans="1:7" s="24" customFormat="1" ht="15" customHeight="1" x14ac:dyDescent="0.3">
      <c r="A4" s="20" t="s">
        <v>182</v>
      </c>
      <c r="B4" s="21" t="s">
        <v>183</v>
      </c>
      <c r="C4" s="21" t="s">
        <v>184</v>
      </c>
      <c r="D4" s="27" t="s">
        <v>204</v>
      </c>
      <c r="E4" s="22" t="s">
        <v>192</v>
      </c>
      <c r="F4" s="23" t="s">
        <v>193</v>
      </c>
      <c r="G4" s="23" t="s">
        <v>193</v>
      </c>
    </row>
    <row r="5" spans="1:7" x14ac:dyDescent="0.3">
      <c r="A5" s="9" t="s">
        <v>1</v>
      </c>
      <c r="B5" s="53" t="s">
        <v>188</v>
      </c>
      <c r="C5" s="12" t="s">
        <v>517</v>
      </c>
      <c r="D5" s="28">
        <v>4</v>
      </c>
      <c r="E5" s="13">
        <v>42.9</v>
      </c>
      <c r="F5" s="14">
        <f>E5/1.05</f>
        <v>40.857142857142854</v>
      </c>
      <c r="G5" s="14">
        <f>E5/1.1</f>
        <v>38.999999999999993</v>
      </c>
    </row>
    <row r="6" spans="1:7" x14ac:dyDescent="0.3">
      <c r="A6" s="10" t="s">
        <v>7</v>
      </c>
      <c r="B6" s="17" t="s">
        <v>189</v>
      </c>
      <c r="C6" s="43" t="s">
        <v>517</v>
      </c>
      <c r="D6" s="29">
        <v>4</v>
      </c>
      <c r="E6" s="15">
        <v>42.9</v>
      </c>
      <c r="F6" s="16">
        <f t="shared" ref="F6:F26" si="0">E6/1.05</f>
        <v>40.857142857142854</v>
      </c>
      <c r="G6" s="14">
        <f t="shared" ref="G6:G8" si="1">E6/1.1</f>
        <v>38.999999999999993</v>
      </c>
    </row>
    <row r="7" spans="1:7" x14ac:dyDescent="0.3">
      <c r="A7" s="9" t="s">
        <v>13</v>
      </c>
      <c r="B7" s="53" t="s">
        <v>190</v>
      </c>
      <c r="C7" s="12" t="s">
        <v>517</v>
      </c>
      <c r="D7" s="28">
        <v>4</v>
      </c>
      <c r="E7" s="13">
        <v>42.9</v>
      </c>
      <c r="F7" s="14">
        <f t="shared" si="0"/>
        <v>40.857142857142854</v>
      </c>
      <c r="G7" s="14">
        <f t="shared" si="1"/>
        <v>38.999999999999993</v>
      </c>
    </row>
    <row r="8" spans="1:7" x14ac:dyDescent="0.3">
      <c r="A8" s="10" t="s">
        <v>178</v>
      </c>
      <c r="B8" s="17" t="s">
        <v>191</v>
      </c>
      <c r="C8" s="43" t="s">
        <v>517</v>
      </c>
      <c r="D8" s="29">
        <v>4</v>
      </c>
      <c r="E8" s="15">
        <v>42.9</v>
      </c>
      <c r="F8" s="16">
        <f t="shared" si="0"/>
        <v>40.857142857142854</v>
      </c>
      <c r="G8" s="14">
        <f t="shared" si="1"/>
        <v>38.999999999999993</v>
      </c>
    </row>
    <row r="9" spans="1:7" ht="25.5" customHeight="1" x14ac:dyDescent="0.3">
      <c r="F9" s="6"/>
    </row>
    <row r="10" spans="1:7" ht="20.399999999999999" x14ac:dyDescent="0.3">
      <c r="A10" s="84" t="s">
        <v>359</v>
      </c>
      <c r="B10" s="84"/>
      <c r="C10" s="84"/>
      <c r="D10" s="84"/>
      <c r="E10" s="84"/>
      <c r="F10" s="84"/>
      <c r="G10" s="84"/>
    </row>
    <row r="11" spans="1:7" x14ac:dyDescent="0.3">
      <c r="A11" s="85" t="s">
        <v>195</v>
      </c>
      <c r="B11" s="85"/>
      <c r="C11" s="85"/>
      <c r="D11" s="85"/>
      <c r="E11" s="85"/>
      <c r="F11" s="85"/>
    </row>
    <row r="12" spans="1:7" ht="6.75" customHeight="1" x14ac:dyDescent="0.3">
      <c r="F12" s="25"/>
      <c r="G12" s="25">
        <v>0.1</v>
      </c>
    </row>
    <row r="13" spans="1:7" ht="15" customHeight="1" x14ac:dyDescent="0.3">
      <c r="A13" s="20" t="s">
        <v>182</v>
      </c>
      <c r="B13" s="21" t="s">
        <v>183</v>
      </c>
      <c r="C13" s="21" t="s">
        <v>184</v>
      </c>
      <c r="D13" s="27" t="s">
        <v>204</v>
      </c>
      <c r="E13" s="22" t="s">
        <v>192</v>
      </c>
      <c r="F13" s="23" t="s">
        <v>193</v>
      </c>
      <c r="G13" s="23" t="s">
        <v>193</v>
      </c>
    </row>
    <row r="14" spans="1:7" x14ac:dyDescent="0.3">
      <c r="A14" s="9" t="s">
        <v>19</v>
      </c>
      <c r="B14" s="39" t="s">
        <v>31</v>
      </c>
      <c r="C14" s="12" t="s">
        <v>368</v>
      </c>
      <c r="D14" s="28">
        <v>3</v>
      </c>
      <c r="E14" s="13">
        <v>31.9</v>
      </c>
      <c r="F14" s="14">
        <f t="shared" si="0"/>
        <v>30.38095238095238</v>
      </c>
      <c r="G14" s="14">
        <f>E14/1.1</f>
        <v>28.999999999999996</v>
      </c>
    </row>
    <row r="15" spans="1:7" x14ac:dyDescent="0.3">
      <c r="A15" s="10" t="s">
        <v>25</v>
      </c>
      <c r="B15" s="52" t="s">
        <v>32</v>
      </c>
      <c r="C15" s="43" t="s">
        <v>369</v>
      </c>
      <c r="D15" s="29">
        <v>3</v>
      </c>
      <c r="E15" s="15">
        <v>31.9</v>
      </c>
      <c r="F15" s="16">
        <f t="shared" si="0"/>
        <v>30.38095238095238</v>
      </c>
      <c r="G15" s="16">
        <f t="shared" ref="G15:G19" si="2">E15/1.1</f>
        <v>28.999999999999996</v>
      </c>
    </row>
    <row r="16" spans="1:7" x14ac:dyDescent="0.3">
      <c r="A16" s="9" t="s">
        <v>35</v>
      </c>
      <c r="B16" s="39" t="s">
        <v>33</v>
      </c>
      <c r="C16" s="11" t="s">
        <v>370</v>
      </c>
      <c r="D16" s="28">
        <v>3</v>
      </c>
      <c r="E16" s="13">
        <v>31.9</v>
      </c>
      <c r="F16" s="14">
        <f t="shared" si="0"/>
        <v>30.38095238095238</v>
      </c>
      <c r="G16" s="14">
        <f t="shared" si="2"/>
        <v>28.999999999999996</v>
      </c>
    </row>
    <row r="17" spans="1:7" x14ac:dyDescent="0.3">
      <c r="A17" s="10" t="s">
        <v>41</v>
      </c>
      <c r="B17" s="52" t="s">
        <v>186</v>
      </c>
      <c r="C17" s="43" t="s">
        <v>371</v>
      </c>
      <c r="D17" s="29">
        <v>3</v>
      </c>
      <c r="E17" s="15">
        <v>31.9</v>
      </c>
      <c r="F17" s="16">
        <f t="shared" si="0"/>
        <v>30.38095238095238</v>
      </c>
      <c r="G17" s="16">
        <f t="shared" si="2"/>
        <v>28.999999999999996</v>
      </c>
    </row>
    <row r="18" spans="1:7" x14ac:dyDescent="0.3">
      <c r="A18" s="9" t="s">
        <v>47</v>
      </c>
      <c r="B18" s="39" t="s">
        <v>34</v>
      </c>
      <c r="C18" s="11" t="s">
        <v>372</v>
      </c>
      <c r="D18" s="28">
        <v>3</v>
      </c>
      <c r="E18" s="13">
        <v>31.9</v>
      </c>
      <c r="F18" s="14">
        <f t="shared" si="0"/>
        <v>30.38095238095238</v>
      </c>
      <c r="G18" s="14">
        <f t="shared" si="2"/>
        <v>28.999999999999996</v>
      </c>
    </row>
    <row r="19" spans="1:7" x14ac:dyDescent="0.3">
      <c r="A19" s="10" t="s">
        <v>185</v>
      </c>
      <c r="B19" s="52" t="s">
        <v>187</v>
      </c>
      <c r="C19" s="43" t="s">
        <v>370</v>
      </c>
      <c r="D19" s="29">
        <v>3</v>
      </c>
      <c r="E19" s="15">
        <v>31.9</v>
      </c>
      <c r="F19" s="16">
        <f t="shared" si="0"/>
        <v>30.38095238095238</v>
      </c>
      <c r="G19" s="16">
        <f t="shared" si="2"/>
        <v>28.999999999999996</v>
      </c>
    </row>
    <row r="20" spans="1:7" customFormat="1" ht="25.5" customHeight="1" x14ac:dyDescent="0.3"/>
    <row r="21" spans="1:7" ht="15" x14ac:dyDescent="0.3">
      <c r="A21" s="84" t="s">
        <v>196</v>
      </c>
      <c r="B21" s="84"/>
      <c r="C21" s="84"/>
      <c r="D21" s="84"/>
      <c r="E21" s="84"/>
      <c r="F21" s="84"/>
      <c r="G21" s="84"/>
    </row>
    <row r="22" spans="1:7" x14ac:dyDescent="0.3">
      <c r="A22" s="85" t="s">
        <v>197</v>
      </c>
      <c r="B22" s="85"/>
      <c r="C22" s="85"/>
      <c r="D22" s="85"/>
      <c r="E22" s="85"/>
      <c r="F22" s="85"/>
    </row>
    <row r="23" spans="1:7" ht="6.75" customHeight="1" x14ac:dyDescent="0.3">
      <c r="F23" s="25"/>
      <c r="G23" s="25">
        <v>0.1</v>
      </c>
    </row>
    <row r="24" spans="1:7" ht="15" customHeight="1" x14ac:dyDescent="0.3">
      <c r="A24" s="20" t="s">
        <v>182</v>
      </c>
      <c r="B24" s="21" t="s">
        <v>183</v>
      </c>
      <c r="C24" s="21" t="s">
        <v>184</v>
      </c>
      <c r="D24" s="27" t="s">
        <v>204</v>
      </c>
      <c r="E24" s="22" t="s">
        <v>192</v>
      </c>
      <c r="F24" s="23" t="s">
        <v>193</v>
      </c>
      <c r="G24" s="23" t="s">
        <v>193</v>
      </c>
    </row>
    <row r="25" spans="1:7" ht="14.25" customHeight="1" x14ac:dyDescent="0.3">
      <c r="A25" s="9" t="s">
        <v>89</v>
      </c>
      <c r="B25" s="39" t="s">
        <v>87</v>
      </c>
      <c r="C25" s="18" t="s">
        <v>212</v>
      </c>
      <c r="D25" s="28">
        <v>1</v>
      </c>
      <c r="E25" s="13">
        <v>24.9</v>
      </c>
      <c r="F25" s="14">
        <f>E25/1.05</f>
        <v>23.714285714285712</v>
      </c>
      <c r="G25" s="14">
        <f>E25/1.1</f>
        <v>22.636363636363633</v>
      </c>
    </row>
    <row r="26" spans="1:7" ht="14.25" customHeight="1" x14ac:dyDescent="0.3">
      <c r="A26" s="10" t="s">
        <v>90</v>
      </c>
      <c r="B26" s="17" t="s">
        <v>88</v>
      </c>
      <c r="C26" s="19" t="s">
        <v>213</v>
      </c>
      <c r="D26" s="30">
        <v>1</v>
      </c>
      <c r="E26" s="15">
        <v>24.9</v>
      </c>
      <c r="F26" s="16">
        <f t="shared" si="0"/>
        <v>23.714285714285712</v>
      </c>
      <c r="G26" s="16">
        <f t="shared" ref="G26:G40" si="3">E26/1.1</f>
        <v>22.636363636363633</v>
      </c>
    </row>
    <row r="27" spans="1:7" ht="14.25" customHeight="1" x14ac:dyDescent="0.3">
      <c r="A27" s="9" t="s">
        <v>96</v>
      </c>
      <c r="B27" s="39" t="s">
        <v>81</v>
      </c>
      <c r="C27" s="18" t="s">
        <v>206</v>
      </c>
      <c r="D27" s="28">
        <v>1</v>
      </c>
      <c r="E27" s="13">
        <v>24.9</v>
      </c>
      <c r="F27" s="14">
        <f>E27/1.05</f>
        <v>23.714285714285712</v>
      </c>
      <c r="G27" s="14">
        <f t="shared" si="3"/>
        <v>22.636363636363633</v>
      </c>
    </row>
    <row r="28" spans="1:7" ht="14.25" customHeight="1" x14ac:dyDescent="0.3">
      <c r="A28" s="10" t="s">
        <v>97</v>
      </c>
      <c r="B28" s="17" t="s">
        <v>82</v>
      </c>
      <c r="C28" s="19" t="s">
        <v>207</v>
      </c>
      <c r="D28" s="30">
        <v>1</v>
      </c>
      <c r="E28" s="15">
        <v>24.9</v>
      </c>
      <c r="F28" s="16">
        <f t="shared" ref="F28:F40" si="4">E28/1.05</f>
        <v>23.714285714285712</v>
      </c>
      <c r="G28" s="16">
        <f t="shared" si="3"/>
        <v>22.636363636363633</v>
      </c>
    </row>
    <row r="29" spans="1:7" ht="14.25" customHeight="1" x14ac:dyDescent="0.3">
      <c r="A29" s="9" t="s">
        <v>106</v>
      </c>
      <c r="B29" s="39" t="s">
        <v>632</v>
      </c>
      <c r="C29" s="18" t="s">
        <v>207</v>
      </c>
      <c r="D29" s="28">
        <v>1</v>
      </c>
      <c r="E29" s="13">
        <v>24.9</v>
      </c>
      <c r="F29" s="14">
        <f>E29/1.05</f>
        <v>23.714285714285712</v>
      </c>
      <c r="G29" s="16"/>
    </row>
    <row r="30" spans="1:7" ht="14.25" customHeight="1" x14ac:dyDescent="0.3">
      <c r="A30" s="10" t="s">
        <v>107</v>
      </c>
      <c r="B30" s="17" t="s">
        <v>633</v>
      </c>
      <c r="C30" s="19" t="s">
        <v>207</v>
      </c>
      <c r="D30" s="30">
        <v>1</v>
      </c>
      <c r="E30" s="15">
        <v>24.9</v>
      </c>
      <c r="F30" s="16">
        <f>E30/1.05</f>
        <v>23.714285714285712</v>
      </c>
      <c r="G30" s="16"/>
    </row>
    <row r="31" spans="1:7" ht="14.25" customHeight="1" x14ac:dyDescent="0.3">
      <c r="A31" s="9" t="s">
        <v>149</v>
      </c>
      <c r="B31" s="39" t="s">
        <v>156</v>
      </c>
      <c r="C31" s="18" t="s">
        <v>206</v>
      </c>
      <c r="D31" s="28">
        <v>2</v>
      </c>
      <c r="E31" s="13">
        <v>24.9</v>
      </c>
      <c r="F31" s="14">
        <f>E31/1.05</f>
        <v>23.714285714285712</v>
      </c>
      <c r="G31" s="16"/>
    </row>
    <row r="32" spans="1:7" ht="14.25" customHeight="1" x14ac:dyDescent="0.3">
      <c r="A32" s="10" t="s">
        <v>150</v>
      </c>
      <c r="B32" s="17" t="s">
        <v>157</v>
      </c>
      <c r="C32" s="19" t="s">
        <v>207</v>
      </c>
      <c r="D32" s="30">
        <v>2</v>
      </c>
      <c r="E32" s="15">
        <v>24.9</v>
      </c>
      <c r="F32" s="16">
        <f t="shared" ref="F32" si="5">E32/1.05</f>
        <v>23.714285714285712</v>
      </c>
      <c r="G32" s="16"/>
    </row>
    <row r="33" spans="1:7" ht="14.25" customHeight="1" x14ac:dyDescent="0.3">
      <c r="A33" s="9" t="s">
        <v>612</v>
      </c>
      <c r="B33" s="39" t="s">
        <v>634</v>
      </c>
      <c r="C33" s="18" t="s">
        <v>207</v>
      </c>
      <c r="D33" s="28">
        <v>2</v>
      </c>
      <c r="E33" s="13">
        <v>24.9</v>
      </c>
      <c r="F33" s="14">
        <f>E33/1.05</f>
        <v>23.714285714285712</v>
      </c>
      <c r="G33" s="16"/>
    </row>
    <row r="34" spans="1:7" ht="14.25" customHeight="1" x14ac:dyDescent="0.3">
      <c r="A34" s="10" t="s">
        <v>613</v>
      </c>
      <c r="B34" s="17" t="s">
        <v>635</v>
      </c>
      <c r="C34" s="19" t="s">
        <v>207</v>
      </c>
      <c r="D34" s="30">
        <v>2</v>
      </c>
      <c r="E34" s="15">
        <v>24.9</v>
      </c>
      <c r="F34" s="16">
        <f t="shared" ref="F34" si="6">E34/1.05</f>
        <v>23.714285714285712</v>
      </c>
      <c r="G34" s="16"/>
    </row>
    <row r="35" spans="1:7" ht="14.25" customHeight="1" x14ac:dyDescent="0.3">
      <c r="A35" s="9" t="s">
        <v>109</v>
      </c>
      <c r="B35" s="39" t="s">
        <v>198</v>
      </c>
      <c r="C35" s="18" t="s">
        <v>208</v>
      </c>
      <c r="D35" s="28">
        <v>1</v>
      </c>
      <c r="E35" s="13">
        <v>24.9</v>
      </c>
      <c r="F35" s="14">
        <f t="shared" si="4"/>
        <v>23.714285714285712</v>
      </c>
      <c r="G35" s="14">
        <f t="shared" si="3"/>
        <v>22.636363636363633</v>
      </c>
    </row>
    <row r="36" spans="1:7" ht="14.25" customHeight="1" x14ac:dyDescent="0.3">
      <c r="A36" s="10" t="s">
        <v>110</v>
      </c>
      <c r="B36" s="17" t="s">
        <v>199</v>
      </c>
      <c r="C36" s="19" t="s">
        <v>209</v>
      </c>
      <c r="D36" s="30">
        <v>1</v>
      </c>
      <c r="E36" s="15">
        <v>24.9</v>
      </c>
      <c r="F36" s="16">
        <f t="shared" si="4"/>
        <v>23.714285714285712</v>
      </c>
      <c r="G36" s="16">
        <f t="shared" si="3"/>
        <v>22.636363636363633</v>
      </c>
    </row>
    <row r="37" spans="1:7" ht="14.25" customHeight="1" x14ac:dyDescent="0.3">
      <c r="A37" s="9" t="s">
        <v>116</v>
      </c>
      <c r="B37" s="39" t="s">
        <v>636</v>
      </c>
      <c r="C37" s="18" t="s">
        <v>209</v>
      </c>
      <c r="D37" s="28">
        <v>1</v>
      </c>
      <c r="E37" s="13">
        <v>24.9</v>
      </c>
      <c r="F37" s="14">
        <f t="shared" ref="F37:F38" si="7">E37/1.05</f>
        <v>23.714285714285712</v>
      </c>
      <c r="G37" s="14">
        <f t="shared" ref="G37:G38" si="8">E37/1.1</f>
        <v>22.636363636363633</v>
      </c>
    </row>
    <row r="38" spans="1:7" ht="14.25" customHeight="1" x14ac:dyDescent="0.3">
      <c r="A38" s="10" t="s">
        <v>117</v>
      </c>
      <c r="B38" s="17" t="s">
        <v>637</v>
      </c>
      <c r="C38" s="19" t="s">
        <v>209</v>
      </c>
      <c r="D38" s="30">
        <v>1</v>
      </c>
      <c r="E38" s="15">
        <v>24.9</v>
      </c>
      <c r="F38" s="16">
        <f t="shared" si="7"/>
        <v>23.714285714285712</v>
      </c>
      <c r="G38" s="16">
        <f t="shared" si="8"/>
        <v>22.636363636363633</v>
      </c>
    </row>
    <row r="39" spans="1:7" ht="14.25" customHeight="1" x14ac:dyDescent="0.3">
      <c r="A39" s="9" t="s">
        <v>171</v>
      </c>
      <c r="B39" s="39" t="s">
        <v>200</v>
      </c>
      <c r="C39" s="18" t="s">
        <v>210</v>
      </c>
      <c r="D39" s="28">
        <v>2</v>
      </c>
      <c r="E39" s="13">
        <v>24.9</v>
      </c>
      <c r="F39" s="14">
        <f t="shared" si="4"/>
        <v>23.714285714285712</v>
      </c>
      <c r="G39" s="14">
        <f t="shared" si="3"/>
        <v>22.636363636363633</v>
      </c>
    </row>
    <row r="40" spans="1:7" ht="14.25" customHeight="1" x14ac:dyDescent="0.3">
      <c r="A40" s="10" t="s">
        <v>172</v>
      </c>
      <c r="B40" s="17" t="s">
        <v>201</v>
      </c>
      <c r="C40" s="19" t="s">
        <v>211</v>
      </c>
      <c r="D40" s="29">
        <v>2</v>
      </c>
      <c r="E40" s="15">
        <v>24.9</v>
      </c>
      <c r="F40" s="16">
        <f t="shared" si="4"/>
        <v>23.714285714285712</v>
      </c>
      <c r="G40" s="16">
        <f t="shared" si="3"/>
        <v>22.636363636363633</v>
      </c>
    </row>
    <row r="41" spans="1:7" ht="14.25" customHeight="1" x14ac:dyDescent="0.3">
      <c r="A41" s="9" t="s">
        <v>606</v>
      </c>
      <c r="B41" s="39" t="s">
        <v>638</v>
      </c>
      <c r="C41" s="18" t="s">
        <v>209</v>
      </c>
      <c r="D41" s="28">
        <v>2</v>
      </c>
      <c r="E41" s="13">
        <v>24.9</v>
      </c>
      <c r="F41" s="14">
        <f t="shared" ref="F41:F44" si="9">E41/1.05</f>
        <v>23.714285714285712</v>
      </c>
      <c r="G41" s="14">
        <f t="shared" ref="G41:G42" si="10">E41/1.1</f>
        <v>22.636363636363633</v>
      </c>
    </row>
    <row r="42" spans="1:7" ht="14.25" customHeight="1" x14ac:dyDescent="0.3">
      <c r="A42" s="10" t="s">
        <v>607</v>
      </c>
      <c r="B42" s="17" t="s">
        <v>639</v>
      </c>
      <c r="C42" s="19" t="s">
        <v>211</v>
      </c>
      <c r="D42" s="29">
        <v>2</v>
      </c>
      <c r="E42" s="15">
        <v>24.9</v>
      </c>
      <c r="F42" s="16">
        <f t="shared" si="9"/>
        <v>23.714285714285712</v>
      </c>
      <c r="G42" s="16">
        <f t="shared" si="10"/>
        <v>22.636363636363633</v>
      </c>
    </row>
    <row r="43" spans="1:7" ht="14.25" customHeight="1" x14ac:dyDescent="0.3">
      <c r="A43" s="9" t="s">
        <v>119</v>
      </c>
      <c r="B43" s="39" t="s">
        <v>131</v>
      </c>
      <c r="C43" s="18" t="s">
        <v>515</v>
      </c>
      <c r="D43" s="28">
        <v>1</v>
      </c>
      <c r="E43" s="13">
        <v>24.9</v>
      </c>
      <c r="F43" s="14">
        <f t="shared" si="9"/>
        <v>23.714285714285712</v>
      </c>
      <c r="G43" s="41"/>
    </row>
    <row r="44" spans="1:7" ht="14.25" customHeight="1" x14ac:dyDescent="0.3">
      <c r="A44" s="10" t="s">
        <v>120</v>
      </c>
      <c r="B44" s="17" t="s">
        <v>132</v>
      </c>
      <c r="C44" s="19" t="s">
        <v>516</v>
      </c>
      <c r="D44" s="29">
        <v>1</v>
      </c>
      <c r="E44" s="15">
        <v>24.9</v>
      </c>
      <c r="F44" s="16">
        <f t="shared" si="9"/>
        <v>23.714285714285712</v>
      </c>
      <c r="G44" s="41"/>
    </row>
    <row r="45" spans="1:7" ht="14.25" customHeight="1" x14ac:dyDescent="0.3">
      <c r="A45" s="9" t="s">
        <v>640</v>
      </c>
      <c r="B45" s="39" t="s">
        <v>769</v>
      </c>
      <c r="C45" s="18" t="s">
        <v>771</v>
      </c>
      <c r="D45" s="57" t="s">
        <v>773</v>
      </c>
      <c r="E45" s="13">
        <v>24.9</v>
      </c>
      <c r="F45" s="14">
        <f t="shared" ref="F45:F46" si="11">E45/1.05</f>
        <v>23.714285714285712</v>
      </c>
      <c r="G45" s="41"/>
    </row>
    <row r="46" spans="1:7" ht="14.25" customHeight="1" x14ac:dyDescent="0.3">
      <c r="A46" s="10" t="s">
        <v>641</v>
      </c>
      <c r="B46" s="17" t="s">
        <v>770</v>
      </c>
      <c r="C46" s="19" t="s">
        <v>772</v>
      </c>
      <c r="D46" s="58" t="s">
        <v>773</v>
      </c>
      <c r="E46" s="15">
        <v>24.9</v>
      </c>
      <c r="F46" s="16">
        <f t="shared" si="11"/>
        <v>23.714285714285712</v>
      </c>
      <c r="G46" s="41"/>
    </row>
    <row r="47" spans="1:7" ht="14.25" customHeight="1" x14ac:dyDescent="0.3">
      <c r="A47" s="9" t="s">
        <v>784</v>
      </c>
      <c r="B47" s="39" t="s">
        <v>1254</v>
      </c>
      <c r="C47" s="18" t="s">
        <v>771</v>
      </c>
      <c r="D47" s="57">
        <v>3</v>
      </c>
      <c r="E47" s="13">
        <v>24.9</v>
      </c>
      <c r="F47" s="14">
        <f t="shared" ref="F47:F48" si="12">E47/1.05</f>
        <v>23.714285714285712</v>
      </c>
      <c r="G47" s="41"/>
    </row>
    <row r="48" spans="1:7" ht="14.25" customHeight="1" x14ac:dyDescent="0.3">
      <c r="A48" s="10" t="s">
        <v>785</v>
      </c>
      <c r="B48" s="17" t="s">
        <v>1255</v>
      </c>
      <c r="C48" s="19" t="s">
        <v>772</v>
      </c>
      <c r="D48" s="58">
        <v>3</v>
      </c>
      <c r="E48" s="15">
        <v>24.9</v>
      </c>
      <c r="F48" s="16">
        <f t="shared" si="12"/>
        <v>23.714285714285712</v>
      </c>
      <c r="G48" s="41"/>
    </row>
    <row r="49" spans="1:7" ht="20.399999999999999" x14ac:dyDescent="0.3">
      <c r="A49" s="84" t="s">
        <v>360</v>
      </c>
      <c r="B49" s="84"/>
      <c r="C49" s="84"/>
      <c r="D49" s="84"/>
      <c r="E49" s="84"/>
      <c r="F49" s="84"/>
      <c r="G49" s="84"/>
    </row>
    <row r="50" spans="1:7" x14ac:dyDescent="0.3">
      <c r="A50" s="85" t="s">
        <v>361</v>
      </c>
      <c r="B50" s="85"/>
      <c r="C50" s="85"/>
      <c r="D50" s="85"/>
      <c r="E50" s="85"/>
      <c r="F50" s="85"/>
    </row>
    <row r="51" spans="1:7" ht="6.9" customHeight="1" x14ac:dyDescent="0.3">
      <c r="A51" s="38"/>
      <c r="B51" s="38"/>
      <c r="C51" s="38"/>
      <c r="D51" s="38"/>
      <c r="E51" s="38"/>
      <c r="F51" s="38"/>
    </row>
    <row r="52" spans="1:7" x14ac:dyDescent="0.3">
      <c r="A52" s="38" t="s">
        <v>1256</v>
      </c>
      <c r="B52" s="38"/>
      <c r="C52" s="38"/>
      <c r="D52" s="38"/>
      <c r="E52" s="38"/>
      <c r="F52" s="38"/>
    </row>
    <row r="53" spans="1:7" ht="13.65" customHeight="1" x14ac:dyDescent="0.3">
      <c r="A53" s="20" t="s">
        <v>182</v>
      </c>
      <c r="B53" s="21" t="s">
        <v>183</v>
      </c>
      <c r="C53" s="21" t="s">
        <v>184</v>
      </c>
      <c r="D53" s="27" t="s">
        <v>204</v>
      </c>
      <c r="E53" s="22" t="s">
        <v>192</v>
      </c>
      <c r="F53" s="23" t="s">
        <v>193</v>
      </c>
      <c r="G53" s="25">
        <v>0.1</v>
      </c>
    </row>
    <row r="54" spans="1:7" s="31" customFormat="1" ht="13.65" customHeight="1" x14ac:dyDescent="0.3">
      <c r="A54" s="9" t="s">
        <v>67</v>
      </c>
      <c r="B54" s="39" t="s">
        <v>232</v>
      </c>
      <c r="C54" s="11" t="s">
        <v>375</v>
      </c>
      <c r="D54" s="28">
        <v>4</v>
      </c>
      <c r="E54" s="13"/>
      <c r="F54" s="14">
        <v>23.71</v>
      </c>
      <c r="G54" s="5"/>
    </row>
    <row r="55" spans="1:7" s="31" customFormat="1" ht="13.65" customHeight="1" x14ac:dyDescent="0.3">
      <c r="A55" s="10" t="s">
        <v>77</v>
      </c>
      <c r="B55" s="17" t="s">
        <v>233</v>
      </c>
      <c r="C55" s="43" t="s">
        <v>376</v>
      </c>
      <c r="D55" s="30">
        <v>4</v>
      </c>
      <c r="E55" s="15"/>
      <c r="F55" s="16">
        <v>23.71</v>
      </c>
    </row>
    <row r="56" spans="1:7" s="31" customFormat="1" ht="13.65" customHeight="1" x14ac:dyDescent="0.3">
      <c r="A56" s="9" t="s">
        <v>86</v>
      </c>
      <c r="B56" s="39" t="s">
        <v>85</v>
      </c>
      <c r="C56" s="11" t="s">
        <v>377</v>
      </c>
      <c r="D56" s="28">
        <v>4</v>
      </c>
      <c r="E56" s="13"/>
      <c r="F56" s="14">
        <v>23.71</v>
      </c>
    </row>
    <row r="57" spans="1:7" s="31" customFormat="1" ht="13.65" customHeight="1" x14ac:dyDescent="0.3">
      <c r="A57" s="10" t="s">
        <v>226</v>
      </c>
      <c r="B57" s="17" t="s">
        <v>227</v>
      </c>
      <c r="C57" s="43" t="s">
        <v>366</v>
      </c>
      <c r="D57" s="30">
        <v>4</v>
      </c>
      <c r="E57" s="15"/>
      <c r="F57" s="16">
        <v>23.71</v>
      </c>
    </row>
    <row r="58" spans="1:7" ht="13.65" customHeight="1" x14ac:dyDescent="0.3">
      <c r="A58" s="9" t="s">
        <v>228</v>
      </c>
      <c r="B58" s="39" t="s">
        <v>229</v>
      </c>
      <c r="C58" s="11" t="s">
        <v>381</v>
      </c>
      <c r="D58" s="28">
        <v>4</v>
      </c>
      <c r="E58" s="13"/>
      <c r="F58" s="14">
        <v>23.71</v>
      </c>
      <c r="G58" s="31"/>
    </row>
    <row r="59" spans="1:7" ht="13.65" customHeight="1" x14ac:dyDescent="0.3">
      <c r="A59" s="10" t="s">
        <v>230</v>
      </c>
      <c r="B59" s="17" t="s">
        <v>231</v>
      </c>
      <c r="C59" s="43" t="s">
        <v>381</v>
      </c>
      <c r="D59" s="30">
        <v>4</v>
      </c>
      <c r="E59" s="15"/>
      <c r="F59" s="16">
        <v>23.71</v>
      </c>
      <c r="G59" s="31"/>
    </row>
    <row r="60" spans="1:7" ht="13.65" customHeight="1" x14ac:dyDescent="0.3">
      <c r="A60" s="9" t="s">
        <v>237</v>
      </c>
      <c r="B60" s="39" t="s">
        <v>261</v>
      </c>
      <c r="C60" s="11" t="s">
        <v>378</v>
      </c>
      <c r="D60" s="28">
        <v>4</v>
      </c>
      <c r="E60" s="13"/>
      <c r="F60" s="14">
        <v>23.71</v>
      </c>
      <c r="G60" s="31"/>
    </row>
    <row r="61" spans="1:7" ht="13.65" customHeight="1" x14ac:dyDescent="0.3">
      <c r="A61" s="10" t="s">
        <v>238</v>
      </c>
      <c r="B61" s="17" t="s">
        <v>262</v>
      </c>
      <c r="C61" s="43" t="s">
        <v>381</v>
      </c>
      <c r="D61" s="30">
        <v>4</v>
      </c>
      <c r="E61" s="15"/>
      <c r="F61" s="16">
        <v>23.71</v>
      </c>
    </row>
    <row r="62" spans="1:7" ht="13.65" customHeight="1" x14ac:dyDescent="0.3">
      <c r="A62" s="9" t="s">
        <v>239</v>
      </c>
      <c r="B62" s="39" t="s">
        <v>263</v>
      </c>
      <c r="C62" s="11" t="s">
        <v>362</v>
      </c>
      <c r="D62" s="28">
        <v>4</v>
      </c>
      <c r="E62" s="13"/>
      <c r="F62" s="14">
        <v>23.71</v>
      </c>
    </row>
    <row r="63" spans="1:7" ht="13.65" customHeight="1" x14ac:dyDescent="0.3">
      <c r="A63" s="10" t="s">
        <v>240</v>
      </c>
      <c r="B63" s="17" t="s">
        <v>264</v>
      </c>
      <c r="C63" s="43" t="s">
        <v>381</v>
      </c>
      <c r="D63" s="30">
        <v>4</v>
      </c>
      <c r="E63" s="15"/>
      <c r="F63" s="16">
        <v>23.71</v>
      </c>
    </row>
    <row r="64" spans="1:7" ht="13.65" customHeight="1" x14ac:dyDescent="0.3">
      <c r="A64" s="9" t="s">
        <v>241</v>
      </c>
      <c r="B64" s="39" t="s">
        <v>265</v>
      </c>
      <c r="C64" s="11" t="s">
        <v>382</v>
      </c>
      <c r="D64" s="28">
        <v>4</v>
      </c>
      <c r="E64" s="13"/>
      <c r="F64" s="14">
        <v>23.71</v>
      </c>
    </row>
    <row r="65" spans="1:6" ht="13.65" customHeight="1" x14ac:dyDescent="0.3">
      <c r="A65" s="10" t="s">
        <v>242</v>
      </c>
      <c r="B65" s="17" t="s">
        <v>266</v>
      </c>
      <c r="C65" s="43" t="s">
        <v>383</v>
      </c>
      <c r="D65" s="30">
        <v>4</v>
      </c>
      <c r="E65" s="15"/>
      <c r="F65" s="16">
        <v>23.71</v>
      </c>
    </row>
    <row r="66" spans="1:6" ht="13.65" customHeight="1" x14ac:dyDescent="0.3">
      <c r="A66" s="9" t="s">
        <v>243</v>
      </c>
      <c r="B66" s="39" t="s">
        <v>267</v>
      </c>
      <c r="C66" s="11" t="s">
        <v>384</v>
      </c>
      <c r="D66" s="28">
        <v>4</v>
      </c>
      <c r="E66" s="13"/>
      <c r="F66" s="14">
        <v>23.71</v>
      </c>
    </row>
    <row r="67" spans="1:6" ht="13.65" customHeight="1" x14ac:dyDescent="0.3">
      <c r="A67" s="10" t="s">
        <v>244</v>
      </c>
      <c r="B67" s="17" t="s">
        <v>268</v>
      </c>
      <c r="C67" s="43" t="s">
        <v>366</v>
      </c>
      <c r="D67" s="30">
        <v>4</v>
      </c>
      <c r="E67" s="15"/>
      <c r="F67" s="16">
        <v>23.71</v>
      </c>
    </row>
    <row r="68" spans="1:6" ht="13.65" customHeight="1" x14ac:dyDescent="0.3">
      <c r="A68" s="9" t="s">
        <v>245</v>
      </c>
      <c r="B68" s="39" t="s">
        <v>269</v>
      </c>
      <c r="C68" s="11" t="s">
        <v>363</v>
      </c>
      <c r="D68" s="28">
        <v>4</v>
      </c>
      <c r="E68" s="13"/>
      <c r="F68" s="14">
        <v>23.71</v>
      </c>
    </row>
    <row r="69" spans="1:6" ht="13.65" customHeight="1" x14ac:dyDescent="0.3">
      <c r="A69" s="10" t="s">
        <v>246</v>
      </c>
      <c r="B69" s="17" t="s">
        <v>270</v>
      </c>
      <c r="C69" s="43" t="s">
        <v>385</v>
      </c>
      <c r="D69" s="30">
        <v>4</v>
      </c>
      <c r="E69" s="15"/>
      <c r="F69" s="16">
        <v>23.71</v>
      </c>
    </row>
    <row r="70" spans="1:6" ht="13.65" customHeight="1" x14ac:dyDescent="0.3">
      <c r="A70" s="9" t="s">
        <v>247</v>
      </c>
      <c r="B70" s="39" t="s">
        <v>271</v>
      </c>
      <c r="C70" s="11" t="s">
        <v>386</v>
      </c>
      <c r="D70" s="28">
        <v>4</v>
      </c>
      <c r="E70" s="13"/>
      <c r="F70" s="14">
        <v>23.71</v>
      </c>
    </row>
    <row r="71" spans="1:6" ht="13.65" customHeight="1" x14ac:dyDescent="0.3">
      <c r="A71" s="10" t="s">
        <v>248</v>
      </c>
      <c r="B71" s="17" t="s">
        <v>272</v>
      </c>
      <c r="C71" s="43" t="s">
        <v>367</v>
      </c>
      <c r="D71" s="30">
        <v>4</v>
      </c>
      <c r="E71" s="15"/>
      <c r="F71" s="16">
        <v>23.71</v>
      </c>
    </row>
    <row r="72" spans="1:6" ht="13.65" customHeight="1" x14ac:dyDescent="0.3">
      <c r="A72" s="9" t="s">
        <v>249</v>
      </c>
      <c r="B72" s="39" t="s">
        <v>273</v>
      </c>
      <c r="C72" s="11" t="s">
        <v>367</v>
      </c>
      <c r="D72" s="28">
        <v>4</v>
      </c>
      <c r="E72" s="13"/>
      <c r="F72" s="14">
        <v>23.71</v>
      </c>
    </row>
    <row r="73" spans="1:6" ht="13.65" customHeight="1" x14ac:dyDescent="0.3">
      <c r="A73" s="10" t="s">
        <v>250</v>
      </c>
      <c r="B73" s="17" t="s">
        <v>274</v>
      </c>
      <c r="C73" s="43" t="s">
        <v>367</v>
      </c>
      <c r="D73" s="30">
        <v>4</v>
      </c>
      <c r="E73" s="15"/>
      <c r="F73" s="16">
        <v>23.71</v>
      </c>
    </row>
    <row r="74" spans="1:6" ht="13.65" customHeight="1" x14ac:dyDescent="0.3">
      <c r="A74" s="9" t="s">
        <v>251</v>
      </c>
      <c r="B74" s="39" t="s">
        <v>275</v>
      </c>
      <c r="C74" s="11" t="s">
        <v>367</v>
      </c>
      <c r="D74" s="28">
        <v>4</v>
      </c>
      <c r="E74" s="13"/>
      <c r="F74" s="14">
        <v>23.71</v>
      </c>
    </row>
    <row r="75" spans="1:6" ht="13.65" customHeight="1" x14ac:dyDescent="0.3">
      <c r="A75" s="10" t="s">
        <v>252</v>
      </c>
      <c r="B75" s="17" t="s">
        <v>276</v>
      </c>
      <c r="C75" s="43" t="s">
        <v>367</v>
      </c>
      <c r="D75" s="30">
        <v>4</v>
      </c>
      <c r="E75" s="15"/>
      <c r="F75" s="16">
        <v>23.71</v>
      </c>
    </row>
    <row r="76" spans="1:6" ht="13.65" customHeight="1" x14ac:dyDescent="0.3">
      <c r="A76" s="9" t="s">
        <v>253</v>
      </c>
      <c r="B76" s="39" t="s">
        <v>277</v>
      </c>
      <c r="C76" s="11" t="s">
        <v>387</v>
      </c>
      <c r="D76" s="28">
        <v>4</v>
      </c>
      <c r="E76" s="13"/>
      <c r="F76" s="14">
        <v>23.71</v>
      </c>
    </row>
    <row r="77" spans="1:6" ht="13.65" customHeight="1" x14ac:dyDescent="0.3">
      <c r="A77" s="10" t="s">
        <v>254</v>
      </c>
      <c r="B77" s="17" t="s">
        <v>278</v>
      </c>
      <c r="C77" s="43" t="s">
        <v>381</v>
      </c>
      <c r="D77" s="30">
        <v>4</v>
      </c>
      <c r="E77" s="15"/>
      <c r="F77" s="16">
        <v>23.71</v>
      </c>
    </row>
    <row r="78" spans="1:6" ht="13.65" customHeight="1" x14ac:dyDescent="0.3">
      <c r="A78" s="9" t="s">
        <v>255</v>
      </c>
      <c r="B78" s="39" t="s">
        <v>316</v>
      </c>
      <c r="C78" s="11" t="s">
        <v>388</v>
      </c>
      <c r="D78" s="28">
        <v>4</v>
      </c>
      <c r="E78" s="13"/>
      <c r="F78" s="14">
        <v>23.71</v>
      </c>
    </row>
    <row r="79" spans="1:6" ht="13.65" customHeight="1" x14ac:dyDescent="0.3">
      <c r="A79" s="10" t="s">
        <v>256</v>
      </c>
      <c r="B79" s="17" t="s">
        <v>347</v>
      </c>
      <c r="C79" s="43" t="s">
        <v>389</v>
      </c>
      <c r="D79" s="30">
        <v>4</v>
      </c>
      <c r="E79" s="15"/>
      <c r="F79" s="16">
        <v>23.71</v>
      </c>
    </row>
    <row r="80" spans="1:6" ht="13.65" customHeight="1" x14ac:dyDescent="0.3">
      <c r="A80" s="9" t="s">
        <v>257</v>
      </c>
      <c r="B80" s="39" t="s">
        <v>318</v>
      </c>
      <c r="C80" s="11" t="s">
        <v>390</v>
      </c>
      <c r="D80" s="28">
        <v>4</v>
      </c>
      <c r="E80" s="13"/>
      <c r="F80" s="14">
        <v>23.71</v>
      </c>
    </row>
    <row r="81" spans="1:6" ht="13.65" customHeight="1" x14ac:dyDescent="0.3">
      <c r="A81" s="10" t="s">
        <v>258</v>
      </c>
      <c r="B81" s="17" t="s">
        <v>319</v>
      </c>
      <c r="C81" s="43" t="s">
        <v>364</v>
      </c>
      <c r="D81" s="30">
        <v>4</v>
      </c>
      <c r="E81" s="15"/>
      <c r="F81" s="16">
        <v>23.71</v>
      </c>
    </row>
    <row r="82" spans="1:6" ht="13.65" customHeight="1" x14ac:dyDescent="0.3">
      <c r="A82" s="9" t="s">
        <v>259</v>
      </c>
      <c r="B82" s="39" t="s">
        <v>320</v>
      </c>
      <c r="C82" s="11" t="s">
        <v>381</v>
      </c>
      <c r="D82" s="28">
        <v>4</v>
      </c>
      <c r="E82" s="13"/>
      <c r="F82" s="14">
        <v>23.71</v>
      </c>
    </row>
    <row r="83" spans="1:6" ht="13.65" customHeight="1" x14ac:dyDescent="0.3">
      <c r="A83" s="10" t="s">
        <v>260</v>
      </c>
      <c r="B83" s="17" t="s">
        <v>321</v>
      </c>
      <c r="C83" s="43" t="s">
        <v>365</v>
      </c>
      <c r="D83" s="29">
        <v>4</v>
      </c>
      <c r="E83" s="15"/>
      <c r="F83" s="16">
        <v>23.71</v>
      </c>
    </row>
    <row r="84" spans="1:6" ht="13.65" customHeight="1" x14ac:dyDescent="0.3">
      <c r="A84" s="9" t="s">
        <v>279</v>
      </c>
      <c r="B84" s="39" t="s">
        <v>322</v>
      </c>
      <c r="C84" s="11" t="s">
        <v>374</v>
      </c>
      <c r="D84" s="28">
        <v>4</v>
      </c>
      <c r="E84" s="13"/>
      <c r="F84" s="14">
        <v>23.71</v>
      </c>
    </row>
    <row r="85" spans="1:6" ht="13.65" customHeight="1" x14ac:dyDescent="0.3">
      <c r="A85" s="10" t="s">
        <v>280</v>
      </c>
      <c r="B85" s="17" t="s">
        <v>323</v>
      </c>
      <c r="C85" s="43" t="s">
        <v>391</v>
      </c>
      <c r="D85" s="30">
        <v>4</v>
      </c>
      <c r="E85" s="15"/>
      <c r="F85" s="16">
        <v>23.71</v>
      </c>
    </row>
    <row r="86" spans="1:6" ht="13.65" customHeight="1" x14ac:dyDescent="0.3">
      <c r="A86" s="9" t="s">
        <v>281</v>
      </c>
      <c r="B86" s="39" t="s">
        <v>324</v>
      </c>
      <c r="C86" s="11" t="s">
        <v>383</v>
      </c>
      <c r="D86" s="28">
        <v>4</v>
      </c>
      <c r="E86" s="13"/>
      <c r="F86" s="14">
        <v>23.71</v>
      </c>
    </row>
    <row r="87" spans="1:6" ht="13.65" customHeight="1" x14ac:dyDescent="0.3">
      <c r="A87" s="10" t="s">
        <v>282</v>
      </c>
      <c r="B87" s="17" t="s">
        <v>325</v>
      </c>
      <c r="C87" s="43" t="s">
        <v>387</v>
      </c>
      <c r="D87" s="30">
        <v>4</v>
      </c>
      <c r="E87" s="15"/>
      <c r="F87" s="16">
        <v>23.71</v>
      </c>
    </row>
    <row r="88" spans="1:6" ht="13.65" customHeight="1" x14ac:dyDescent="0.3">
      <c r="A88" s="9" t="s">
        <v>283</v>
      </c>
      <c r="B88" s="39" t="s">
        <v>346</v>
      </c>
      <c r="C88" s="11" t="s">
        <v>373</v>
      </c>
      <c r="D88" s="28">
        <v>4</v>
      </c>
      <c r="E88" s="13"/>
      <c r="F88" s="14">
        <v>23.71</v>
      </c>
    </row>
    <row r="89" spans="1:6" ht="13.65" customHeight="1" x14ac:dyDescent="0.3">
      <c r="A89" s="10" t="s">
        <v>284</v>
      </c>
      <c r="B89" s="17" t="s">
        <v>327</v>
      </c>
      <c r="C89" s="43" t="s">
        <v>365</v>
      </c>
      <c r="D89" s="30">
        <v>4</v>
      </c>
      <c r="E89" s="15"/>
      <c r="F89" s="16">
        <v>23.71</v>
      </c>
    </row>
    <row r="90" spans="1:6" ht="13.65" customHeight="1" x14ac:dyDescent="0.3">
      <c r="A90" s="9" t="s">
        <v>285</v>
      </c>
      <c r="B90" s="39" t="s">
        <v>328</v>
      </c>
      <c r="C90" s="11" t="s">
        <v>374</v>
      </c>
      <c r="D90" s="28">
        <v>4</v>
      </c>
      <c r="E90" s="13"/>
      <c r="F90" s="14">
        <v>23.71</v>
      </c>
    </row>
    <row r="91" spans="1:6" ht="13.65" customHeight="1" x14ac:dyDescent="0.3">
      <c r="A91" s="10" t="s">
        <v>286</v>
      </c>
      <c r="B91" s="17" t="s">
        <v>329</v>
      </c>
      <c r="C91" s="43" t="s">
        <v>392</v>
      </c>
      <c r="D91" s="30">
        <v>4</v>
      </c>
      <c r="E91" s="15"/>
      <c r="F91" s="16">
        <v>23.71</v>
      </c>
    </row>
    <row r="92" spans="1:6" ht="13.65" customHeight="1" x14ac:dyDescent="0.3">
      <c r="A92" s="9" t="s">
        <v>287</v>
      </c>
      <c r="B92" s="39" t="s">
        <v>330</v>
      </c>
      <c r="C92" s="11" t="s">
        <v>387</v>
      </c>
      <c r="D92" s="28">
        <v>4</v>
      </c>
      <c r="E92" s="13"/>
      <c r="F92" s="14">
        <v>23.71</v>
      </c>
    </row>
    <row r="93" spans="1:6" ht="13.65" customHeight="1" x14ac:dyDescent="0.3">
      <c r="A93" s="10" t="s">
        <v>288</v>
      </c>
      <c r="B93" s="17" t="s">
        <v>331</v>
      </c>
      <c r="C93" s="43" t="s">
        <v>380</v>
      </c>
      <c r="D93" s="30">
        <v>4</v>
      </c>
      <c r="E93" s="15"/>
      <c r="F93" s="16">
        <v>23.71</v>
      </c>
    </row>
    <row r="94" spans="1:6" ht="13.65" customHeight="1" x14ac:dyDescent="0.3">
      <c r="A94" s="9" t="s">
        <v>289</v>
      </c>
      <c r="B94" s="39" t="s">
        <v>231</v>
      </c>
      <c r="C94" s="11" t="s">
        <v>381</v>
      </c>
      <c r="D94" s="28">
        <v>4</v>
      </c>
      <c r="E94" s="13"/>
      <c r="F94" s="14">
        <v>23.71</v>
      </c>
    </row>
    <row r="95" spans="1:6" ht="13.65" customHeight="1" x14ac:dyDescent="0.3">
      <c r="A95" s="10" t="s">
        <v>290</v>
      </c>
      <c r="B95" s="17" t="s">
        <v>332</v>
      </c>
      <c r="C95" s="43" t="s">
        <v>362</v>
      </c>
      <c r="D95" s="30">
        <v>4</v>
      </c>
      <c r="E95" s="15"/>
      <c r="F95" s="16">
        <v>23.71</v>
      </c>
    </row>
    <row r="96" spans="1:6" ht="13.65" customHeight="1" x14ac:dyDescent="0.3">
      <c r="A96" s="9" t="s">
        <v>291</v>
      </c>
      <c r="B96" s="39" t="s">
        <v>333</v>
      </c>
      <c r="C96" s="11" t="s">
        <v>393</v>
      </c>
      <c r="D96" s="28">
        <v>4</v>
      </c>
      <c r="E96" s="13"/>
      <c r="F96" s="14">
        <v>23.71</v>
      </c>
    </row>
    <row r="97" spans="1:7" ht="13.65" customHeight="1" x14ac:dyDescent="0.3">
      <c r="A97" s="10" t="s">
        <v>292</v>
      </c>
      <c r="B97" s="17" t="s">
        <v>356</v>
      </c>
      <c r="C97" s="43" t="s">
        <v>379</v>
      </c>
      <c r="D97" s="29">
        <v>4</v>
      </c>
      <c r="E97" s="15"/>
      <c r="F97" s="16">
        <v>23.71</v>
      </c>
    </row>
    <row r="98" spans="1:7" ht="13.65" customHeight="1" x14ac:dyDescent="0.3">
      <c r="A98" s="71"/>
      <c r="B98" s="72"/>
      <c r="C98" s="71"/>
      <c r="D98" s="74"/>
      <c r="E98" s="73"/>
      <c r="F98" s="73"/>
    </row>
    <row r="99" spans="1:7" ht="13.65" customHeight="1" x14ac:dyDescent="0.3">
      <c r="A99" s="71"/>
      <c r="B99" s="72"/>
      <c r="C99" s="71"/>
      <c r="D99" s="74"/>
      <c r="E99" s="73"/>
      <c r="F99" s="73"/>
    </row>
    <row r="100" spans="1:7" ht="15" x14ac:dyDescent="0.3">
      <c r="A100" s="83" t="s">
        <v>583</v>
      </c>
      <c r="B100" s="84"/>
      <c r="C100" s="84"/>
      <c r="D100" s="84"/>
      <c r="E100" s="84"/>
      <c r="F100" s="84"/>
      <c r="G100" s="84"/>
    </row>
    <row r="101" spans="1:7" s="1" customFormat="1" x14ac:dyDescent="0.25">
      <c r="A101" s="85" t="s">
        <v>584</v>
      </c>
      <c r="B101" s="85"/>
      <c r="C101" s="85"/>
      <c r="D101" s="85"/>
      <c r="E101" s="85"/>
      <c r="F101" s="85"/>
      <c r="G101" s="5"/>
    </row>
    <row r="102" spans="1:7" s="1" customFormat="1" ht="6.75" customHeight="1" x14ac:dyDescent="0.25">
      <c r="A102" s="7"/>
      <c r="B102" s="54"/>
      <c r="C102" s="7"/>
      <c r="D102" s="30"/>
      <c r="E102" s="41"/>
      <c r="F102" s="41"/>
      <c r="G102" s="5"/>
    </row>
    <row r="103" spans="1:7" s="1" customFormat="1" ht="15" customHeight="1" x14ac:dyDescent="0.25">
      <c r="A103" s="20" t="s">
        <v>182</v>
      </c>
      <c r="B103" s="21" t="s">
        <v>183</v>
      </c>
      <c r="C103" s="21" t="s">
        <v>184</v>
      </c>
      <c r="D103" s="27" t="s">
        <v>204</v>
      </c>
      <c r="E103" s="22" t="s">
        <v>192</v>
      </c>
      <c r="F103" s="23" t="s">
        <v>193</v>
      </c>
    </row>
    <row r="104" spans="1:7" s="1" customFormat="1" x14ac:dyDescent="0.25">
      <c r="A104" s="9" t="s">
        <v>401</v>
      </c>
      <c r="B104" s="39" t="s">
        <v>532</v>
      </c>
      <c r="C104" s="11" t="s">
        <v>585</v>
      </c>
      <c r="D104" s="28">
        <v>3</v>
      </c>
      <c r="E104" s="13"/>
      <c r="F104" s="14">
        <v>28.476190476190474</v>
      </c>
    </row>
    <row r="105" spans="1:7" s="1" customFormat="1" x14ac:dyDescent="0.25">
      <c r="A105" s="10" t="s">
        <v>402</v>
      </c>
      <c r="B105" s="17" t="s">
        <v>1257</v>
      </c>
      <c r="C105" s="43" t="s">
        <v>585</v>
      </c>
      <c r="D105" s="29">
        <v>3</v>
      </c>
      <c r="E105" s="15"/>
      <c r="F105" s="16">
        <v>42.761904761904759</v>
      </c>
    </row>
    <row r="106" spans="1:7" s="1" customFormat="1" x14ac:dyDescent="0.25">
      <c r="A106" s="9" t="s">
        <v>403</v>
      </c>
      <c r="B106" s="39" t="s">
        <v>533</v>
      </c>
      <c r="C106" s="11" t="s">
        <v>586</v>
      </c>
      <c r="D106" s="28">
        <v>3</v>
      </c>
      <c r="E106" s="13"/>
      <c r="F106" s="14">
        <v>28.476190476190474</v>
      </c>
    </row>
    <row r="107" spans="1:7" s="1" customFormat="1" x14ac:dyDescent="0.25">
      <c r="A107" s="10" t="s">
        <v>404</v>
      </c>
      <c r="B107" s="17" t="s">
        <v>1258</v>
      </c>
      <c r="C107" s="43" t="s">
        <v>586</v>
      </c>
      <c r="D107" s="29">
        <v>3</v>
      </c>
      <c r="E107" s="15"/>
      <c r="F107" s="16">
        <v>42.761904761904759</v>
      </c>
    </row>
    <row r="108" spans="1:7" s="1" customFormat="1" x14ac:dyDescent="0.25">
      <c r="A108" s="9" t="s">
        <v>405</v>
      </c>
      <c r="B108" s="39" t="s">
        <v>534</v>
      </c>
      <c r="C108" s="11" t="s">
        <v>378</v>
      </c>
      <c r="D108" s="28">
        <v>3</v>
      </c>
      <c r="E108" s="13"/>
      <c r="F108" s="14">
        <v>28.476190476190474</v>
      </c>
    </row>
    <row r="109" spans="1:7" s="1" customFormat="1" x14ac:dyDescent="0.25">
      <c r="A109" s="10" t="s">
        <v>409</v>
      </c>
      <c r="B109" s="17" t="s">
        <v>1259</v>
      </c>
      <c r="C109" s="43" t="s">
        <v>378</v>
      </c>
      <c r="D109" s="29">
        <v>3</v>
      </c>
      <c r="E109" s="15"/>
      <c r="F109" s="16">
        <v>42.761904761904759</v>
      </c>
    </row>
    <row r="110" spans="1:7" s="1" customFormat="1" x14ac:dyDescent="0.25">
      <c r="A110" s="9" t="s">
        <v>406</v>
      </c>
      <c r="B110" s="39" t="s">
        <v>535</v>
      </c>
      <c r="C110" s="11" t="s">
        <v>587</v>
      </c>
      <c r="D110" s="28">
        <v>3</v>
      </c>
      <c r="E110" s="13"/>
      <c r="F110" s="14">
        <v>28.476190476190474</v>
      </c>
    </row>
    <row r="111" spans="1:7" s="1" customFormat="1" x14ac:dyDescent="0.25">
      <c r="A111" s="10" t="s">
        <v>410</v>
      </c>
      <c r="B111" s="17" t="s">
        <v>1260</v>
      </c>
      <c r="C111" s="43" t="s">
        <v>587</v>
      </c>
      <c r="D111" s="29">
        <v>3</v>
      </c>
      <c r="E111" s="15"/>
      <c r="F111" s="16">
        <v>42.761904761904759</v>
      </c>
    </row>
    <row r="112" spans="1:7" s="1" customFormat="1" x14ac:dyDescent="0.25">
      <c r="A112" s="9" t="s">
        <v>407</v>
      </c>
      <c r="B112" s="39" t="s">
        <v>536</v>
      </c>
      <c r="C112" s="11" t="s">
        <v>585</v>
      </c>
      <c r="D112" s="28">
        <v>3</v>
      </c>
      <c r="E112" s="13"/>
      <c r="F112" s="14">
        <v>28.476190476190474</v>
      </c>
    </row>
    <row r="113" spans="1:6" s="1" customFormat="1" x14ac:dyDescent="0.25">
      <c r="A113" s="10" t="s">
        <v>408</v>
      </c>
      <c r="B113" s="17" t="s">
        <v>1261</v>
      </c>
      <c r="C113" s="43" t="s">
        <v>585</v>
      </c>
      <c r="D113" s="29">
        <v>3</v>
      </c>
      <c r="E113" s="15"/>
      <c r="F113" s="16">
        <v>42.761904761904759</v>
      </c>
    </row>
    <row r="114" spans="1:6" s="1" customFormat="1" x14ac:dyDescent="0.25">
      <c r="A114" s="9" t="s">
        <v>411</v>
      </c>
      <c r="B114" s="39" t="s">
        <v>537</v>
      </c>
      <c r="C114" s="11" t="s">
        <v>588</v>
      </c>
      <c r="D114" s="28">
        <v>3</v>
      </c>
      <c r="E114" s="13"/>
      <c r="F114" s="14">
        <v>28.476190476190474</v>
      </c>
    </row>
    <row r="115" spans="1:6" s="1" customFormat="1" x14ac:dyDescent="0.25">
      <c r="A115" s="10" t="s">
        <v>412</v>
      </c>
      <c r="B115" s="17" t="s">
        <v>1262</v>
      </c>
      <c r="C115" s="43" t="s">
        <v>588</v>
      </c>
      <c r="D115" s="29">
        <v>3</v>
      </c>
      <c r="E115" s="15"/>
      <c r="F115" s="16">
        <v>42.761904761904759</v>
      </c>
    </row>
    <row r="116" spans="1:6" s="1" customFormat="1" x14ac:dyDescent="0.25">
      <c r="A116" s="9" t="s">
        <v>413</v>
      </c>
      <c r="B116" s="39" t="s">
        <v>538</v>
      </c>
      <c r="C116" s="11" t="s">
        <v>378</v>
      </c>
      <c r="D116" s="28">
        <v>3</v>
      </c>
      <c r="E116" s="13"/>
      <c r="F116" s="14">
        <v>28.476190476190474</v>
      </c>
    </row>
    <row r="117" spans="1:6" s="1" customFormat="1" x14ac:dyDescent="0.25">
      <c r="A117" s="10" t="s">
        <v>414</v>
      </c>
      <c r="B117" s="17" t="s">
        <v>1263</v>
      </c>
      <c r="C117" s="43" t="s">
        <v>378</v>
      </c>
      <c r="D117" s="29">
        <v>3</v>
      </c>
      <c r="E117" s="15"/>
      <c r="F117" s="16">
        <v>42.761904761904759</v>
      </c>
    </row>
    <row r="118" spans="1:6" s="1" customFormat="1" x14ac:dyDescent="0.25">
      <c r="A118" s="9" t="s">
        <v>415</v>
      </c>
      <c r="B118" s="39" t="s">
        <v>539</v>
      </c>
      <c r="C118" s="11" t="s">
        <v>589</v>
      </c>
      <c r="D118" s="28">
        <v>3</v>
      </c>
      <c r="E118" s="13"/>
      <c r="F118" s="14">
        <v>28.476190476190474</v>
      </c>
    </row>
    <row r="119" spans="1:6" s="1" customFormat="1" x14ac:dyDescent="0.25">
      <c r="A119" s="10" t="s">
        <v>416</v>
      </c>
      <c r="B119" s="17" t="s">
        <v>1264</v>
      </c>
      <c r="C119" s="43" t="s">
        <v>589</v>
      </c>
      <c r="D119" s="29">
        <v>3</v>
      </c>
      <c r="E119" s="15"/>
      <c r="F119" s="16">
        <v>42.761904761904759</v>
      </c>
    </row>
    <row r="120" spans="1:6" s="1" customFormat="1" hidden="1" x14ac:dyDescent="0.25">
      <c r="A120" s="9" t="s">
        <v>503</v>
      </c>
      <c r="B120" s="39" t="s">
        <v>540</v>
      </c>
      <c r="C120" s="11"/>
      <c r="D120" s="28">
        <v>3</v>
      </c>
      <c r="E120" s="13"/>
      <c r="F120" s="14">
        <v>28.476190476190474</v>
      </c>
    </row>
    <row r="121" spans="1:6" s="1" customFormat="1" hidden="1" x14ac:dyDescent="0.25">
      <c r="A121" s="10" t="s">
        <v>504</v>
      </c>
      <c r="B121" s="17" t="s">
        <v>505</v>
      </c>
      <c r="C121" s="43"/>
      <c r="D121" s="29">
        <v>3</v>
      </c>
      <c r="E121" s="15"/>
      <c r="F121" s="16">
        <v>42.761904761904759</v>
      </c>
    </row>
    <row r="122" spans="1:6" s="1" customFormat="1" x14ac:dyDescent="0.25">
      <c r="A122" s="9" t="s">
        <v>530</v>
      </c>
      <c r="B122" s="39" t="s">
        <v>531</v>
      </c>
      <c r="C122" s="11" t="s">
        <v>590</v>
      </c>
      <c r="D122" s="28">
        <v>3</v>
      </c>
      <c r="E122" s="13"/>
      <c r="F122" s="14">
        <v>36.095238095238095</v>
      </c>
    </row>
    <row r="123" spans="1:6" s="1" customFormat="1" x14ac:dyDescent="0.25">
      <c r="A123" s="10" t="s">
        <v>541</v>
      </c>
      <c r="B123" s="17" t="s">
        <v>542</v>
      </c>
      <c r="C123" s="43" t="s">
        <v>585</v>
      </c>
      <c r="D123" s="29">
        <v>3</v>
      </c>
      <c r="E123" s="15"/>
      <c r="F123" s="16">
        <v>28.476190476190474</v>
      </c>
    </row>
    <row r="124" spans="1:6" s="1" customFormat="1" x14ac:dyDescent="0.25">
      <c r="A124" s="9" t="s">
        <v>543</v>
      </c>
      <c r="B124" s="39" t="s">
        <v>1265</v>
      </c>
      <c r="C124" s="11" t="s">
        <v>585</v>
      </c>
      <c r="D124" s="28">
        <v>3</v>
      </c>
      <c r="E124" s="13"/>
      <c r="F124" s="14">
        <v>42.761904761904759</v>
      </c>
    </row>
    <row r="125" spans="1:6" s="1" customFormat="1" x14ac:dyDescent="0.25">
      <c r="A125" s="10" t="s">
        <v>569</v>
      </c>
      <c r="B125" s="17" t="s">
        <v>570</v>
      </c>
      <c r="C125" s="43" t="s">
        <v>590</v>
      </c>
      <c r="D125" s="29">
        <v>3</v>
      </c>
      <c r="E125" s="15"/>
      <c r="F125" s="16">
        <v>36.095238095238095</v>
      </c>
    </row>
    <row r="126" spans="1:6" s="1" customFormat="1" x14ac:dyDescent="0.25">
      <c r="A126" s="9" t="s">
        <v>571</v>
      </c>
      <c r="B126" s="39" t="s">
        <v>592</v>
      </c>
      <c r="C126" s="11" t="s">
        <v>591</v>
      </c>
      <c r="D126" s="28">
        <v>3</v>
      </c>
      <c r="E126" s="13"/>
      <c r="F126" s="14">
        <v>36.095238095238095</v>
      </c>
    </row>
    <row r="127" spans="1:6" s="1" customFormat="1" x14ac:dyDescent="0.25">
      <c r="A127" s="10" t="s">
        <v>572</v>
      </c>
      <c r="B127" s="17" t="s">
        <v>593</v>
      </c>
      <c r="C127" s="43" t="s">
        <v>387</v>
      </c>
      <c r="D127" s="29">
        <v>3</v>
      </c>
      <c r="E127" s="15"/>
      <c r="F127" s="16">
        <v>36.095238095238095</v>
      </c>
    </row>
    <row r="128" spans="1:6" s="1" customFormat="1" x14ac:dyDescent="0.25">
      <c r="A128" s="9" t="s">
        <v>573</v>
      </c>
      <c r="B128" s="39" t="s">
        <v>601</v>
      </c>
      <c r="C128" s="11" t="s">
        <v>589</v>
      </c>
      <c r="D128" s="28">
        <v>3</v>
      </c>
      <c r="E128" s="13"/>
      <c r="F128" s="14">
        <v>36.095238095238095</v>
      </c>
    </row>
    <row r="129" spans="1:7" s="1" customFormat="1" x14ac:dyDescent="0.25">
      <c r="A129" s="10" t="s">
        <v>574</v>
      </c>
      <c r="B129" s="17" t="s">
        <v>594</v>
      </c>
      <c r="C129" s="43" t="s">
        <v>591</v>
      </c>
      <c r="D129" s="29">
        <v>3</v>
      </c>
      <c r="E129" s="15"/>
      <c r="F129" s="16">
        <v>36.095238095238095</v>
      </c>
    </row>
    <row r="130" spans="1:7" s="1" customFormat="1" x14ac:dyDescent="0.25">
      <c r="A130" s="9" t="s">
        <v>575</v>
      </c>
      <c r="B130" s="39" t="s">
        <v>595</v>
      </c>
      <c r="C130" s="11" t="s">
        <v>387</v>
      </c>
      <c r="D130" s="28">
        <v>3</v>
      </c>
      <c r="E130" s="13"/>
      <c r="F130" s="14">
        <v>36.095238095238095</v>
      </c>
    </row>
    <row r="131" spans="1:7" s="1" customFormat="1" x14ac:dyDescent="0.25">
      <c r="A131" s="10" t="s">
        <v>576</v>
      </c>
      <c r="B131" s="17" t="s">
        <v>596</v>
      </c>
      <c r="C131" s="43" t="s">
        <v>602</v>
      </c>
      <c r="D131" s="29">
        <v>3</v>
      </c>
      <c r="E131" s="15"/>
      <c r="F131" s="16">
        <v>36.095238095238095</v>
      </c>
    </row>
    <row r="132" spans="1:7" s="1" customFormat="1" x14ac:dyDescent="0.25">
      <c r="A132" s="9" t="s">
        <v>577</v>
      </c>
      <c r="B132" s="39" t="s">
        <v>597</v>
      </c>
      <c r="C132" s="11" t="s">
        <v>387</v>
      </c>
      <c r="D132" s="28">
        <v>3</v>
      </c>
      <c r="E132" s="13"/>
      <c r="F132" s="14">
        <v>36.095238095238095</v>
      </c>
    </row>
    <row r="133" spans="1:7" x14ac:dyDescent="0.25">
      <c r="A133" s="10" t="s">
        <v>578</v>
      </c>
      <c r="B133" s="17" t="s">
        <v>598</v>
      </c>
      <c r="C133" s="43" t="s">
        <v>591</v>
      </c>
      <c r="D133" s="29">
        <v>3</v>
      </c>
      <c r="E133" s="15"/>
      <c r="F133" s="16">
        <v>36.095238095238095</v>
      </c>
      <c r="G133" s="1"/>
    </row>
    <row r="134" spans="1:7" x14ac:dyDescent="0.25">
      <c r="A134" s="9" t="s">
        <v>580</v>
      </c>
      <c r="B134" s="39" t="s">
        <v>599</v>
      </c>
      <c r="C134" s="11" t="s">
        <v>603</v>
      </c>
      <c r="D134" s="28">
        <v>3</v>
      </c>
      <c r="E134" s="13"/>
      <c r="F134" s="14">
        <v>28.476190476190474</v>
      </c>
      <c r="G134" s="1"/>
    </row>
    <row r="135" spans="1:7" x14ac:dyDescent="0.3">
      <c r="A135" s="10" t="s">
        <v>581</v>
      </c>
      <c r="B135" s="17" t="s">
        <v>600</v>
      </c>
      <c r="C135" s="43" t="s">
        <v>591</v>
      </c>
      <c r="D135" s="29">
        <v>3</v>
      </c>
      <c r="E135" s="15"/>
      <c r="F135" s="16">
        <v>36.095238095238095</v>
      </c>
    </row>
    <row r="136" spans="1:7" x14ac:dyDescent="0.3">
      <c r="A136" s="9" t="s">
        <v>582</v>
      </c>
      <c r="B136" s="39" t="s">
        <v>1266</v>
      </c>
      <c r="C136" s="11" t="s">
        <v>603</v>
      </c>
      <c r="D136" s="28">
        <v>3</v>
      </c>
      <c r="E136" s="13"/>
      <c r="F136" s="14">
        <v>42.761904761904759</v>
      </c>
    </row>
    <row r="137" spans="1:7" customFormat="1" ht="14.4" x14ac:dyDescent="0.3"/>
    <row r="138" spans="1:7" x14ac:dyDescent="0.3">
      <c r="A138" s="44" t="s">
        <v>205</v>
      </c>
      <c r="B138" s="44"/>
      <c r="C138" s="46" t="s">
        <v>394</v>
      </c>
    </row>
    <row r="139" spans="1:7" x14ac:dyDescent="0.3">
      <c r="A139" s="45"/>
    </row>
    <row r="140" spans="1:7" x14ac:dyDescent="0.3">
      <c r="A140" s="42"/>
      <c r="B140" s="31"/>
      <c r="C140" s="31"/>
      <c r="D140" s="30"/>
      <c r="E140" s="41"/>
      <c r="F140" s="31"/>
    </row>
    <row r="141" spans="1:7" x14ac:dyDescent="0.3">
      <c r="A141" s="31"/>
      <c r="B141" s="51"/>
      <c r="C141" s="31"/>
      <c r="D141" s="30"/>
      <c r="E141" s="41"/>
      <c r="F141" s="31"/>
    </row>
    <row r="142" spans="1:7" x14ac:dyDescent="0.3">
      <c r="A142" s="47"/>
      <c r="B142" s="51"/>
      <c r="C142" s="31"/>
      <c r="D142" s="30"/>
      <c r="E142" s="41"/>
      <c r="F142" s="31"/>
    </row>
    <row r="143" spans="1:7" x14ac:dyDescent="0.3">
      <c r="A143" s="31"/>
      <c r="B143" s="51"/>
      <c r="C143" s="31"/>
      <c r="D143" s="30"/>
      <c r="E143" s="41"/>
      <c r="F143" s="31"/>
    </row>
    <row r="144" spans="1:7" x14ac:dyDescent="0.3">
      <c r="A144" s="31"/>
      <c r="B144" s="31"/>
      <c r="C144" s="31"/>
      <c r="D144" s="30"/>
      <c r="E144" s="41"/>
      <c r="F144" s="31"/>
    </row>
    <row r="145" spans="1:6" x14ac:dyDescent="0.3">
      <c r="A145" s="48"/>
      <c r="B145" s="48"/>
      <c r="C145" s="31"/>
      <c r="D145" s="30"/>
      <c r="E145" s="41"/>
      <c r="F145" s="31"/>
    </row>
    <row r="146" spans="1:6" x14ac:dyDescent="0.3">
      <c r="A146" s="48"/>
      <c r="B146" s="48"/>
      <c r="C146" s="31"/>
      <c r="D146" s="30"/>
      <c r="E146" s="41"/>
      <c r="F146" s="31"/>
    </row>
    <row r="147" spans="1:6" x14ac:dyDescent="0.3">
      <c r="A147" s="48"/>
      <c r="B147" s="48"/>
      <c r="C147" s="31"/>
      <c r="D147" s="30"/>
      <c r="E147" s="41"/>
      <c r="F147" s="31"/>
    </row>
    <row r="148" spans="1:6" x14ac:dyDescent="0.3">
      <c r="A148" s="49"/>
      <c r="B148" s="49"/>
      <c r="C148" s="31"/>
      <c r="D148" s="30"/>
      <c r="E148" s="41"/>
      <c r="F148" s="31"/>
    </row>
    <row r="149" spans="1:6" x14ac:dyDescent="0.3">
      <c r="A149" s="50"/>
      <c r="B149" s="50"/>
      <c r="C149" s="31"/>
      <c r="D149" s="30"/>
      <c r="E149" s="41"/>
      <c r="F149" s="31"/>
    </row>
    <row r="150" spans="1:6" x14ac:dyDescent="0.3">
      <c r="A150" s="48"/>
      <c r="B150" s="48"/>
      <c r="C150" s="31"/>
      <c r="D150" s="30"/>
      <c r="E150" s="41"/>
      <c r="F150" s="31"/>
    </row>
    <row r="151" spans="1:6" x14ac:dyDescent="0.3">
      <c r="A151" s="37"/>
      <c r="B151" s="37"/>
    </row>
    <row r="152" spans="1:6" x14ac:dyDescent="0.3">
      <c r="A152" s="37"/>
      <c r="B152" s="37"/>
    </row>
    <row r="153" spans="1:6" x14ac:dyDescent="0.3">
      <c r="A153" s="40"/>
      <c r="B153" s="40"/>
    </row>
    <row r="154" spans="1:6" x14ac:dyDescent="0.3">
      <c r="A154" s="37"/>
      <c r="B154" s="37"/>
    </row>
  </sheetData>
  <mergeCells count="10">
    <mergeCell ref="A100:G100"/>
    <mergeCell ref="A101:F101"/>
    <mergeCell ref="A1:G1"/>
    <mergeCell ref="A10:G10"/>
    <mergeCell ref="A21:G21"/>
    <mergeCell ref="A49:G49"/>
    <mergeCell ref="A50:F50"/>
    <mergeCell ref="A22:F22"/>
    <mergeCell ref="A11:F11"/>
    <mergeCell ref="A2:F2"/>
  </mergeCells>
  <phoneticPr fontId="3" type="noConversion"/>
  <printOptions horizontalCentered="1"/>
  <pageMargins left="0.70866141732283472" right="0.70866141732283472" top="1.5748031496062993" bottom="0.59055118110236227" header="0.59055118110236227" footer="0.31496062992125984"/>
  <pageSetup paperSize="9" scale="97" fitToHeight="0" orientation="portrait" horizontalDpi="1200" verticalDpi="1200" r:id="rId1"/>
  <headerFooter>
    <oddHeader>&amp;C&amp;G
&amp;"Cambria,Fett"PRODUKTPALETTE HANDEL</oddHeader>
    <oddFooter>&amp;C&amp;"Cambria,Standard"&amp;8Seite &amp;P/&amp;N</oddFooter>
  </headerFooter>
  <rowBreaks count="2" manualBreakCount="2">
    <brk id="48" max="16383" man="1"/>
    <brk id="99" max="16383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2122-9888-4217-9E98-045FB6C18606}">
  <dimension ref="A1:A10"/>
  <sheetViews>
    <sheetView topLeftCell="A4" workbookViewId="0">
      <selection activeCell="D30" sqref="D30:D31"/>
    </sheetView>
  </sheetViews>
  <sheetFormatPr baseColWidth="10" defaultRowHeight="14.4" x14ac:dyDescent="0.3"/>
  <cols>
    <col min="1" max="1" width="21.77734375" customWidth="1"/>
  </cols>
  <sheetData>
    <row r="1" spans="1:1" x14ac:dyDescent="0.3">
      <c r="A1" t="s">
        <v>335</v>
      </c>
    </row>
    <row r="3" spans="1:1" x14ac:dyDescent="0.3">
      <c r="A3" t="s">
        <v>336</v>
      </c>
    </row>
    <row r="4" spans="1:1" x14ac:dyDescent="0.3">
      <c r="A4" t="s">
        <v>337</v>
      </c>
    </row>
    <row r="5" spans="1:1" x14ac:dyDescent="0.3">
      <c r="A5" t="s">
        <v>338</v>
      </c>
    </row>
    <row r="6" spans="1:1" x14ac:dyDescent="0.3">
      <c r="A6" t="s">
        <v>339</v>
      </c>
    </row>
    <row r="7" spans="1:1" x14ac:dyDescent="0.3">
      <c r="A7" t="s">
        <v>340</v>
      </c>
    </row>
    <row r="8" spans="1:1" x14ac:dyDescent="0.3">
      <c r="A8" t="s">
        <v>341</v>
      </c>
    </row>
    <row r="9" spans="1:1" x14ac:dyDescent="0.3">
      <c r="A9" t="s">
        <v>342</v>
      </c>
    </row>
    <row r="10" spans="1:1" x14ac:dyDescent="0.3">
      <c r="A10" t="s">
        <v>343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AF9C-A168-46B8-8348-AF2A01D2DA58}">
  <dimension ref="A4:Y100"/>
  <sheetViews>
    <sheetView topLeftCell="L2" zoomScale="125" zoomScaleNormal="115" workbookViewId="0">
      <selection activeCell="O16" sqref="O16"/>
    </sheetView>
  </sheetViews>
  <sheetFormatPr baseColWidth="10" defaultRowHeight="14.4" x14ac:dyDescent="0.3"/>
  <cols>
    <col min="1" max="1" width="7.77734375" bestFit="1" customWidth="1"/>
    <col min="2" max="2" width="19.77734375" bestFit="1" customWidth="1"/>
    <col min="3" max="3" width="5.33203125" customWidth="1"/>
    <col min="4" max="4" width="7.77734375" bestFit="1" customWidth="1"/>
    <col min="5" max="5" width="19.88671875" bestFit="1" customWidth="1"/>
    <col min="6" max="6" width="8.33203125" customWidth="1"/>
    <col min="8" max="8" width="30.21875" customWidth="1"/>
    <col min="11" max="11" width="27.77734375" bestFit="1" customWidth="1"/>
    <col min="14" max="14" width="9.44140625" bestFit="1" customWidth="1"/>
    <col min="15" max="15" width="22.21875" bestFit="1" customWidth="1"/>
    <col min="16" max="16" width="8.109375" style="67" customWidth="1"/>
    <col min="18" max="18" width="15.109375" customWidth="1"/>
    <col min="19" max="19" width="8.109375" customWidth="1"/>
    <col min="21" max="21" width="15.109375" customWidth="1"/>
    <col min="22" max="23" width="8.109375" customWidth="1"/>
    <col min="24" max="24" width="15.109375" customWidth="1"/>
    <col min="25" max="25" width="8.109375" customWidth="1"/>
  </cols>
  <sheetData>
    <row r="4" spans="1:25" ht="17.399999999999999" x14ac:dyDescent="0.3">
      <c r="A4" s="77" t="s">
        <v>76</v>
      </c>
      <c r="B4" s="77"/>
      <c r="D4" s="77" t="s">
        <v>234</v>
      </c>
      <c r="E4" s="77"/>
      <c r="G4" s="77" t="s">
        <v>236</v>
      </c>
      <c r="H4" s="77"/>
      <c r="I4" s="77"/>
      <c r="J4" s="77"/>
      <c r="K4" s="77"/>
      <c r="L4" s="77"/>
      <c r="O4" s="77" t="s">
        <v>344</v>
      </c>
      <c r="P4" s="77"/>
      <c r="Q4" s="77"/>
      <c r="R4" s="77"/>
      <c r="S4" s="77"/>
      <c r="T4" s="77"/>
      <c r="U4" s="77"/>
      <c r="V4" s="77"/>
      <c r="W4" s="77"/>
      <c r="X4" s="77"/>
      <c r="Y4" s="77"/>
    </row>
    <row r="5" spans="1:25" x14ac:dyDescent="0.3">
      <c r="A5" s="1"/>
      <c r="B5" s="1"/>
      <c r="D5" s="1"/>
      <c r="E5" s="1"/>
      <c r="G5" s="1"/>
      <c r="H5" s="1"/>
      <c r="I5" s="1"/>
      <c r="J5" s="1"/>
      <c r="K5" s="1"/>
      <c r="L5" s="63"/>
    </row>
    <row r="6" spans="1:25" x14ac:dyDescent="0.3">
      <c r="A6" s="1" t="s">
        <v>1</v>
      </c>
      <c r="B6" s="2" t="s">
        <v>73</v>
      </c>
      <c r="D6" s="1" t="s">
        <v>19</v>
      </c>
      <c r="E6" s="2" t="s">
        <v>31</v>
      </c>
      <c r="G6" s="62" t="s">
        <v>1009</v>
      </c>
      <c r="H6" s="62" t="s">
        <v>183</v>
      </c>
      <c r="I6" s="62"/>
      <c r="J6" s="62" t="s">
        <v>182</v>
      </c>
      <c r="K6" s="62" t="s">
        <v>183</v>
      </c>
      <c r="L6" s="65" t="s">
        <v>193</v>
      </c>
      <c r="N6" s="69" t="s">
        <v>182</v>
      </c>
      <c r="O6" s="70" t="s">
        <v>1250</v>
      </c>
      <c r="P6" s="70" t="s">
        <v>193</v>
      </c>
      <c r="Q6" s="69" t="s">
        <v>182</v>
      </c>
      <c r="R6" s="70" t="s">
        <v>1251</v>
      </c>
      <c r="S6" s="70" t="s">
        <v>193</v>
      </c>
      <c r="T6" s="69" t="s">
        <v>182</v>
      </c>
      <c r="U6" s="70" t="s">
        <v>1252</v>
      </c>
      <c r="V6" s="70" t="s">
        <v>193</v>
      </c>
      <c r="W6" s="70" t="s">
        <v>182</v>
      </c>
      <c r="X6" s="70" t="s">
        <v>1253</v>
      </c>
      <c r="Y6" s="70" t="s">
        <v>193</v>
      </c>
    </row>
    <row r="7" spans="1:25" x14ac:dyDescent="0.3">
      <c r="A7" s="1" t="s">
        <v>7</v>
      </c>
      <c r="B7" s="2" t="s">
        <v>75</v>
      </c>
      <c r="D7" s="1" t="s">
        <v>25</v>
      </c>
      <c r="E7" s="2" t="s">
        <v>32</v>
      </c>
      <c r="G7" s="1" t="s">
        <v>78</v>
      </c>
      <c r="H7" s="2" t="s">
        <v>506</v>
      </c>
      <c r="I7" s="59"/>
      <c r="J7" s="1" t="s">
        <v>922</v>
      </c>
      <c r="K7" s="2" t="s">
        <v>923</v>
      </c>
      <c r="L7" s="66"/>
      <c r="N7" s="3" t="s">
        <v>96</v>
      </c>
      <c r="O7" s="3" t="s">
        <v>81</v>
      </c>
      <c r="P7" s="68">
        <v>23.71</v>
      </c>
      <c r="Q7" s="3"/>
      <c r="R7" s="3"/>
      <c r="S7" s="68"/>
      <c r="T7" s="3"/>
      <c r="U7" s="3"/>
      <c r="V7" s="68"/>
    </row>
    <row r="8" spans="1:25" x14ac:dyDescent="0.3">
      <c r="A8" s="1" t="s">
        <v>13</v>
      </c>
      <c r="B8" s="2" t="s">
        <v>74</v>
      </c>
      <c r="D8" s="1" t="s">
        <v>35</v>
      </c>
      <c r="E8" s="2" t="s">
        <v>33</v>
      </c>
      <c r="G8" s="1" t="s">
        <v>67</v>
      </c>
      <c r="H8" s="1" t="s">
        <v>232</v>
      </c>
      <c r="I8" s="59"/>
      <c r="J8" s="1" t="s">
        <v>857</v>
      </c>
      <c r="K8" s="1" t="s">
        <v>798</v>
      </c>
      <c r="L8" s="63">
        <v>17.18</v>
      </c>
      <c r="N8" s="3" t="s">
        <v>149</v>
      </c>
      <c r="O8" s="3" t="s">
        <v>156</v>
      </c>
      <c r="P8" s="68">
        <v>23.71</v>
      </c>
      <c r="Q8" s="3"/>
      <c r="R8" s="3"/>
      <c r="S8" s="68"/>
      <c r="T8" s="3"/>
      <c r="U8" s="3"/>
      <c r="V8" s="68"/>
    </row>
    <row r="9" spans="1:25" x14ac:dyDescent="0.3">
      <c r="A9" s="1" t="s">
        <v>178</v>
      </c>
      <c r="B9" s="2" t="s">
        <v>509</v>
      </c>
      <c r="D9" s="1" t="s">
        <v>41</v>
      </c>
      <c r="E9" s="2" t="s">
        <v>186</v>
      </c>
      <c r="G9" s="1" t="s">
        <v>77</v>
      </c>
      <c r="H9" s="1" t="s">
        <v>233</v>
      </c>
      <c r="I9" s="59"/>
      <c r="J9" s="1" t="s">
        <v>858</v>
      </c>
      <c r="K9" s="1" t="s">
        <v>799</v>
      </c>
      <c r="L9" s="63">
        <v>22.64</v>
      </c>
      <c r="N9" s="3" t="s">
        <v>109</v>
      </c>
      <c r="O9" s="3" t="s">
        <v>83</v>
      </c>
      <c r="P9" s="68">
        <v>23.71</v>
      </c>
      <c r="Q9" s="3"/>
      <c r="R9" s="3"/>
      <c r="S9" s="68"/>
      <c r="T9" s="3"/>
      <c r="U9" s="3"/>
      <c r="V9" s="68"/>
    </row>
    <row r="10" spans="1:25" x14ac:dyDescent="0.3">
      <c r="D10" s="1" t="s">
        <v>47</v>
      </c>
      <c r="E10" s="2" t="s">
        <v>34</v>
      </c>
      <c r="G10" s="1" t="s">
        <v>86</v>
      </c>
      <c r="H10" s="1" t="s">
        <v>85</v>
      </c>
      <c r="I10" s="59"/>
      <c r="J10" s="1" t="s">
        <v>859</v>
      </c>
      <c r="K10" s="1" t="s">
        <v>800</v>
      </c>
      <c r="L10" s="63">
        <v>17.18</v>
      </c>
      <c r="N10" s="3" t="s">
        <v>171</v>
      </c>
      <c r="O10" s="3" t="s">
        <v>167</v>
      </c>
      <c r="P10" s="68">
        <v>23.71</v>
      </c>
      <c r="Q10" s="3"/>
      <c r="R10" s="3"/>
      <c r="S10" s="68"/>
      <c r="T10" s="3"/>
      <c r="U10" s="3"/>
      <c r="V10" s="68"/>
    </row>
    <row r="11" spans="1:25" x14ac:dyDescent="0.3">
      <c r="D11" s="1" t="s">
        <v>185</v>
      </c>
      <c r="E11" s="2" t="s">
        <v>187</v>
      </c>
      <c r="G11" s="1" t="s">
        <v>226</v>
      </c>
      <c r="H11" s="1" t="s">
        <v>227</v>
      </c>
      <c r="I11" s="59"/>
      <c r="J11" s="1" t="s">
        <v>860</v>
      </c>
      <c r="K11" s="1" t="s">
        <v>801</v>
      </c>
      <c r="L11" s="63">
        <v>22.64</v>
      </c>
      <c r="P11" s="68">
        <v>23.71</v>
      </c>
      <c r="S11" s="68"/>
      <c r="V11" s="68"/>
    </row>
    <row r="12" spans="1:25" x14ac:dyDescent="0.3">
      <c r="G12" s="1" t="s">
        <v>228</v>
      </c>
      <c r="H12" s="1" t="s">
        <v>229</v>
      </c>
      <c r="I12" s="59"/>
      <c r="J12" s="1" t="s">
        <v>861</v>
      </c>
      <c r="K12" s="1" t="s">
        <v>802</v>
      </c>
      <c r="L12" s="63">
        <v>17.18</v>
      </c>
      <c r="P12" s="68">
        <v>23.71</v>
      </c>
      <c r="S12" s="68"/>
      <c r="V12" s="68"/>
    </row>
    <row r="13" spans="1:25" x14ac:dyDescent="0.3">
      <c r="G13" s="1" t="s">
        <v>230</v>
      </c>
      <c r="H13" s="1" t="s">
        <v>231</v>
      </c>
      <c r="I13" s="59"/>
      <c r="J13" s="1" t="s">
        <v>1010</v>
      </c>
      <c r="K13" s="1" t="s">
        <v>1012</v>
      </c>
      <c r="L13" s="63">
        <v>22.64</v>
      </c>
      <c r="N13" s="3" t="s">
        <v>640</v>
      </c>
      <c r="O13" s="3" t="s">
        <v>650</v>
      </c>
      <c r="P13" s="68">
        <v>23.71</v>
      </c>
      <c r="S13" s="68"/>
      <c r="V13" s="68"/>
    </row>
    <row r="14" spans="1:25" x14ac:dyDescent="0.3">
      <c r="G14" s="1" t="s">
        <v>237</v>
      </c>
      <c r="H14" s="1" t="s">
        <v>261</v>
      </c>
      <c r="I14" s="59"/>
      <c r="J14" s="1" t="s">
        <v>1011</v>
      </c>
      <c r="K14" s="1" t="s">
        <v>1013</v>
      </c>
      <c r="L14" s="63">
        <v>19</v>
      </c>
      <c r="N14" s="3" t="s">
        <v>784</v>
      </c>
      <c r="O14" s="3" t="s">
        <v>794</v>
      </c>
      <c r="P14" s="68">
        <v>23.71</v>
      </c>
      <c r="S14" s="68"/>
      <c r="V14" s="68"/>
    </row>
    <row r="15" spans="1:25" x14ac:dyDescent="0.3">
      <c r="G15" s="1" t="s">
        <v>238</v>
      </c>
      <c r="H15" s="1" t="s">
        <v>262</v>
      </c>
      <c r="I15" s="59"/>
      <c r="J15" s="1" t="s">
        <v>862</v>
      </c>
      <c r="K15" s="1" t="s">
        <v>803</v>
      </c>
      <c r="L15" s="63">
        <v>22.64</v>
      </c>
      <c r="P15" s="68">
        <v>23.71</v>
      </c>
      <c r="S15" s="68"/>
      <c r="V15" s="68"/>
    </row>
    <row r="16" spans="1:25" x14ac:dyDescent="0.3">
      <c r="G16" s="1" t="s">
        <v>239</v>
      </c>
      <c r="H16" s="1" t="s">
        <v>263</v>
      </c>
      <c r="I16" s="59"/>
      <c r="J16" s="1" t="s">
        <v>863</v>
      </c>
      <c r="K16" s="1" t="s">
        <v>804</v>
      </c>
      <c r="L16" s="63">
        <v>22.64</v>
      </c>
      <c r="P16" s="68">
        <v>23.71</v>
      </c>
      <c r="S16" s="68"/>
      <c r="V16" s="68"/>
    </row>
    <row r="17" spans="7:22" x14ac:dyDescent="0.3">
      <c r="G17" s="1" t="s">
        <v>240</v>
      </c>
      <c r="H17" s="1" t="s">
        <v>264</v>
      </c>
      <c r="I17" s="59"/>
      <c r="J17" s="1" t="s">
        <v>864</v>
      </c>
      <c r="K17" s="1" t="s">
        <v>805</v>
      </c>
      <c r="L17" s="63">
        <v>19.91</v>
      </c>
      <c r="P17" s="68">
        <v>23.71</v>
      </c>
      <c r="S17" s="68"/>
      <c r="V17" s="68"/>
    </row>
    <row r="18" spans="7:22" x14ac:dyDescent="0.3">
      <c r="G18" s="1" t="s">
        <v>241</v>
      </c>
      <c r="H18" s="1" t="s">
        <v>265</v>
      </c>
      <c r="I18" s="59"/>
      <c r="J18" s="1" t="s">
        <v>865</v>
      </c>
      <c r="K18" s="1" t="s">
        <v>806</v>
      </c>
      <c r="L18" s="63">
        <v>19.91</v>
      </c>
      <c r="P18" s="68">
        <v>23.71</v>
      </c>
      <c r="S18" s="68"/>
      <c r="V18" s="68"/>
    </row>
    <row r="19" spans="7:22" x14ac:dyDescent="0.3">
      <c r="G19" s="1" t="s">
        <v>242</v>
      </c>
      <c r="H19" s="1" t="s">
        <v>266</v>
      </c>
      <c r="I19" s="59"/>
      <c r="J19" s="1" t="s">
        <v>866</v>
      </c>
      <c r="K19" s="1" t="s">
        <v>807</v>
      </c>
      <c r="L19" s="63">
        <v>22.64</v>
      </c>
      <c r="P19" s="68">
        <v>23.71</v>
      </c>
      <c r="S19" s="68"/>
      <c r="V19" s="68"/>
    </row>
    <row r="20" spans="7:22" x14ac:dyDescent="0.3">
      <c r="G20" s="1" t="s">
        <v>243</v>
      </c>
      <c r="H20" s="1" t="s">
        <v>267</v>
      </c>
      <c r="I20" s="59"/>
      <c r="J20" s="1" t="s">
        <v>867</v>
      </c>
      <c r="K20" s="1" t="s">
        <v>808</v>
      </c>
      <c r="L20" s="63">
        <v>17.18</v>
      </c>
      <c r="P20" s="68">
        <v>23.71</v>
      </c>
      <c r="S20" s="68"/>
      <c r="V20" s="68"/>
    </row>
    <row r="21" spans="7:22" x14ac:dyDescent="0.3">
      <c r="G21" s="1" t="s">
        <v>244</v>
      </c>
      <c r="H21" s="1" t="s">
        <v>268</v>
      </c>
      <c r="I21" s="59"/>
      <c r="J21" s="1" t="s">
        <v>868</v>
      </c>
      <c r="K21" s="1" t="s">
        <v>809</v>
      </c>
      <c r="L21" s="63">
        <v>19.91</v>
      </c>
      <c r="P21" s="68">
        <v>23.71</v>
      </c>
      <c r="S21" s="68"/>
      <c r="V21" s="68"/>
    </row>
    <row r="22" spans="7:22" x14ac:dyDescent="0.3">
      <c r="G22" s="1" t="s">
        <v>245</v>
      </c>
      <c r="H22" s="1" t="s">
        <v>269</v>
      </c>
      <c r="I22" s="59"/>
      <c r="J22" s="1" t="s">
        <v>869</v>
      </c>
      <c r="K22" s="1" t="s">
        <v>810</v>
      </c>
      <c r="L22" s="63">
        <v>17.18</v>
      </c>
      <c r="P22" s="68">
        <v>23.71</v>
      </c>
      <c r="S22" s="68"/>
      <c r="V22" s="68"/>
    </row>
    <row r="23" spans="7:22" x14ac:dyDescent="0.3">
      <c r="G23" s="1" t="s">
        <v>246</v>
      </c>
      <c r="H23" s="1" t="s">
        <v>270</v>
      </c>
      <c r="I23" s="59"/>
      <c r="J23" s="1" t="s">
        <v>870</v>
      </c>
      <c r="K23" s="1" t="s">
        <v>811</v>
      </c>
      <c r="L23" s="63">
        <v>17.18</v>
      </c>
      <c r="P23" s="68"/>
      <c r="S23" s="68"/>
      <c r="V23" s="68"/>
    </row>
    <row r="24" spans="7:22" x14ac:dyDescent="0.3">
      <c r="G24" s="1" t="s">
        <v>247</v>
      </c>
      <c r="H24" s="1" t="s">
        <v>271</v>
      </c>
      <c r="I24" s="59"/>
      <c r="J24" s="1" t="s">
        <v>871</v>
      </c>
      <c r="K24" s="1" t="s">
        <v>812</v>
      </c>
      <c r="L24" s="63">
        <v>17.18</v>
      </c>
      <c r="P24" s="68"/>
      <c r="S24" s="68"/>
      <c r="V24" s="68"/>
    </row>
    <row r="25" spans="7:22" x14ac:dyDescent="0.3">
      <c r="G25" s="1" t="s">
        <v>248</v>
      </c>
      <c r="H25" s="1" t="s">
        <v>272</v>
      </c>
      <c r="I25" s="59"/>
      <c r="J25" s="1" t="s">
        <v>872</v>
      </c>
      <c r="K25" s="1" t="s">
        <v>813</v>
      </c>
      <c r="L25" s="63">
        <v>19.91</v>
      </c>
      <c r="P25" s="68"/>
      <c r="S25" s="68"/>
      <c r="V25" s="68"/>
    </row>
    <row r="26" spans="7:22" x14ac:dyDescent="0.3">
      <c r="G26" s="1" t="s">
        <v>249</v>
      </c>
      <c r="H26" s="1" t="s">
        <v>273</v>
      </c>
      <c r="I26" s="59"/>
      <c r="J26" s="1" t="s">
        <v>873</v>
      </c>
      <c r="K26" s="1" t="s">
        <v>814</v>
      </c>
      <c r="L26" s="63">
        <v>17.18</v>
      </c>
      <c r="P26" s="68"/>
      <c r="S26" s="68"/>
      <c r="V26" s="68"/>
    </row>
    <row r="27" spans="7:22" x14ac:dyDescent="0.3">
      <c r="G27" s="1" t="s">
        <v>250</v>
      </c>
      <c r="H27" s="1" t="s">
        <v>274</v>
      </c>
      <c r="I27" s="59"/>
      <c r="J27" s="1" t="s">
        <v>874</v>
      </c>
      <c r="K27" s="1" t="s">
        <v>815</v>
      </c>
      <c r="L27" s="63">
        <v>17.18</v>
      </c>
      <c r="P27" s="68"/>
      <c r="S27" s="68"/>
      <c r="V27" s="68"/>
    </row>
    <row r="28" spans="7:22" x14ac:dyDescent="0.3">
      <c r="G28" s="1" t="s">
        <v>251</v>
      </c>
      <c r="H28" s="1" t="s">
        <v>275</v>
      </c>
      <c r="I28" s="59"/>
      <c r="J28" s="1" t="s">
        <v>875</v>
      </c>
      <c r="K28" s="1" t="s">
        <v>816</v>
      </c>
      <c r="L28" s="63">
        <v>17.18</v>
      </c>
      <c r="P28" s="68"/>
      <c r="S28" s="68"/>
      <c r="V28" s="68"/>
    </row>
    <row r="29" spans="7:22" x14ac:dyDescent="0.3">
      <c r="G29" s="1" t="s">
        <v>252</v>
      </c>
      <c r="H29" s="1" t="s">
        <v>276</v>
      </c>
      <c r="I29" s="59"/>
      <c r="J29" s="1" t="s">
        <v>876</v>
      </c>
      <c r="K29" s="1" t="s">
        <v>817</v>
      </c>
      <c r="L29" s="63">
        <v>17.18</v>
      </c>
      <c r="P29" s="68"/>
      <c r="S29" s="68"/>
      <c r="V29" s="68"/>
    </row>
    <row r="30" spans="7:22" x14ac:dyDescent="0.3">
      <c r="G30" s="1" t="s">
        <v>253</v>
      </c>
      <c r="H30" s="1" t="s">
        <v>277</v>
      </c>
      <c r="I30" s="59"/>
      <c r="J30" s="1" t="s">
        <v>877</v>
      </c>
      <c r="K30" s="1" t="s">
        <v>818</v>
      </c>
      <c r="L30" s="63">
        <v>17.18</v>
      </c>
      <c r="P30" s="68"/>
      <c r="S30" s="68"/>
      <c r="V30" s="68"/>
    </row>
    <row r="31" spans="7:22" x14ac:dyDescent="0.3">
      <c r="G31" s="1" t="s">
        <v>254</v>
      </c>
      <c r="H31" s="1" t="s">
        <v>278</v>
      </c>
      <c r="I31" s="59"/>
      <c r="J31" s="1" t="s">
        <v>878</v>
      </c>
      <c r="K31" s="1" t="s">
        <v>944</v>
      </c>
      <c r="L31" s="63">
        <v>19.91</v>
      </c>
      <c r="P31" s="68"/>
      <c r="S31" s="68"/>
      <c r="V31" s="68"/>
    </row>
    <row r="32" spans="7:22" x14ac:dyDescent="0.3">
      <c r="G32" s="1" t="s">
        <v>255</v>
      </c>
      <c r="H32" s="1" t="s">
        <v>316</v>
      </c>
      <c r="I32" s="59"/>
      <c r="J32" s="1" t="s">
        <v>879</v>
      </c>
      <c r="K32" s="1" t="s">
        <v>819</v>
      </c>
      <c r="L32" s="63">
        <v>22.64</v>
      </c>
    </row>
    <row r="33" spans="7:12" x14ac:dyDescent="0.3">
      <c r="G33" s="1" t="s">
        <v>256</v>
      </c>
      <c r="H33" s="1" t="s">
        <v>347</v>
      </c>
      <c r="I33" s="59"/>
      <c r="J33" s="1" t="s">
        <v>880</v>
      </c>
      <c r="K33" s="1" t="s">
        <v>820</v>
      </c>
      <c r="L33" s="63">
        <v>22.64</v>
      </c>
    </row>
    <row r="34" spans="7:12" x14ac:dyDescent="0.3">
      <c r="G34" s="1" t="s">
        <v>257</v>
      </c>
      <c r="H34" s="1" t="s">
        <v>318</v>
      </c>
      <c r="I34" s="59"/>
      <c r="J34" s="1" t="s">
        <v>881</v>
      </c>
      <c r="K34" s="1" t="s">
        <v>821</v>
      </c>
      <c r="L34" s="63">
        <v>19.91</v>
      </c>
    </row>
    <row r="35" spans="7:12" x14ac:dyDescent="0.3">
      <c r="G35" s="1" t="s">
        <v>258</v>
      </c>
      <c r="H35" s="1" t="s">
        <v>319</v>
      </c>
      <c r="I35" s="59"/>
      <c r="J35" s="1" t="s">
        <v>882</v>
      </c>
      <c r="K35" s="1" t="s">
        <v>822</v>
      </c>
      <c r="L35" s="63">
        <v>22.64</v>
      </c>
    </row>
    <row r="36" spans="7:12" x14ac:dyDescent="0.3">
      <c r="G36" s="1" t="s">
        <v>259</v>
      </c>
      <c r="H36" s="1" t="s">
        <v>320</v>
      </c>
      <c r="I36" s="59"/>
      <c r="J36" s="1" t="s">
        <v>883</v>
      </c>
      <c r="K36" s="1" t="s">
        <v>823</v>
      </c>
      <c r="L36" s="63">
        <v>19.91</v>
      </c>
    </row>
    <row r="37" spans="7:12" x14ac:dyDescent="0.3">
      <c r="G37" s="1" t="s">
        <v>260</v>
      </c>
      <c r="H37" s="1" t="s">
        <v>321</v>
      </c>
      <c r="I37" s="59"/>
      <c r="J37" s="1" t="s">
        <v>884</v>
      </c>
      <c r="K37" s="1" t="s">
        <v>824</v>
      </c>
      <c r="L37" s="63">
        <v>17.18</v>
      </c>
    </row>
    <row r="38" spans="7:12" x14ac:dyDescent="0.3">
      <c r="G38" s="1" t="s">
        <v>279</v>
      </c>
      <c r="H38" s="1" t="s">
        <v>322</v>
      </c>
      <c r="I38" s="59" t="s">
        <v>334</v>
      </c>
      <c r="J38" s="1" t="s">
        <v>885</v>
      </c>
      <c r="K38" s="1" t="s">
        <v>825</v>
      </c>
      <c r="L38" s="63">
        <v>22.64</v>
      </c>
    </row>
    <row r="39" spans="7:12" x14ac:dyDescent="0.3">
      <c r="G39" s="1" t="s">
        <v>280</v>
      </c>
      <c r="H39" s="1" t="s">
        <v>323</v>
      </c>
      <c r="I39" s="59"/>
      <c r="J39" s="1" t="s">
        <v>886</v>
      </c>
      <c r="K39" s="1" t="s">
        <v>826</v>
      </c>
      <c r="L39" s="63">
        <v>22.64</v>
      </c>
    </row>
    <row r="40" spans="7:12" x14ac:dyDescent="0.3">
      <c r="G40" s="1" t="s">
        <v>281</v>
      </c>
      <c r="H40" s="1" t="s">
        <v>324</v>
      </c>
      <c r="I40" s="59"/>
      <c r="J40" s="1" t="s">
        <v>887</v>
      </c>
      <c r="K40" s="1" t="s">
        <v>827</v>
      </c>
      <c r="L40" s="63">
        <v>22.64</v>
      </c>
    </row>
    <row r="41" spans="7:12" x14ac:dyDescent="0.3">
      <c r="G41" s="1" t="s">
        <v>282</v>
      </c>
      <c r="H41" s="1" t="s">
        <v>325</v>
      </c>
      <c r="I41" s="59"/>
      <c r="J41" s="1" t="s">
        <v>888</v>
      </c>
      <c r="K41" s="1" t="s">
        <v>828</v>
      </c>
      <c r="L41" s="63">
        <v>22.64</v>
      </c>
    </row>
    <row r="42" spans="7:12" x14ac:dyDescent="0.3">
      <c r="G42" s="1" t="s">
        <v>283</v>
      </c>
      <c r="H42" s="1" t="s">
        <v>346</v>
      </c>
      <c r="I42" s="59"/>
      <c r="J42" s="1" t="s">
        <v>889</v>
      </c>
      <c r="K42" s="1" t="s">
        <v>829</v>
      </c>
      <c r="L42" s="63">
        <v>22.64</v>
      </c>
    </row>
    <row r="43" spans="7:12" x14ac:dyDescent="0.3">
      <c r="G43" s="1" t="s">
        <v>284</v>
      </c>
      <c r="H43" s="1" t="s">
        <v>327</v>
      </c>
      <c r="I43" s="59"/>
      <c r="J43" s="1" t="s">
        <v>890</v>
      </c>
      <c r="K43" s="1" t="s">
        <v>830</v>
      </c>
      <c r="L43" s="63">
        <v>22.64</v>
      </c>
    </row>
    <row r="44" spans="7:12" x14ac:dyDescent="0.3">
      <c r="G44" s="1" t="s">
        <v>285</v>
      </c>
      <c r="H44" s="1" t="s">
        <v>328</v>
      </c>
      <c r="I44" s="59"/>
      <c r="J44" s="1" t="s">
        <v>891</v>
      </c>
      <c r="K44" s="1" t="s">
        <v>831</v>
      </c>
      <c r="L44" s="63">
        <v>22.64</v>
      </c>
    </row>
    <row r="45" spans="7:12" x14ac:dyDescent="0.3">
      <c r="G45" s="1" t="s">
        <v>286</v>
      </c>
      <c r="H45" s="1" t="s">
        <v>329</v>
      </c>
      <c r="I45" s="59"/>
      <c r="J45" s="1" t="s">
        <v>892</v>
      </c>
      <c r="K45" s="1" t="s">
        <v>832</v>
      </c>
      <c r="L45" s="63">
        <v>22.64</v>
      </c>
    </row>
    <row r="46" spans="7:12" x14ac:dyDescent="0.3">
      <c r="G46" s="1" t="s">
        <v>287</v>
      </c>
      <c r="H46" s="1" t="s">
        <v>330</v>
      </c>
      <c r="I46" s="59"/>
      <c r="J46" s="1" t="s">
        <v>893</v>
      </c>
      <c r="K46" s="1" t="s">
        <v>833</v>
      </c>
      <c r="L46" s="63">
        <v>22.64</v>
      </c>
    </row>
    <row r="47" spans="7:12" x14ac:dyDescent="0.3">
      <c r="G47" s="1" t="s">
        <v>288</v>
      </c>
      <c r="H47" s="1" t="s">
        <v>331</v>
      </c>
      <c r="I47" s="59"/>
      <c r="J47" s="1" t="s">
        <v>894</v>
      </c>
      <c r="K47" s="1" t="s">
        <v>834</v>
      </c>
      <c r="L47" s="63">
        <v>22.64</v>
      </c>
    </row>
    <row r="48" spans="7:12" x14ac:dyDescent="0.3">
      <c r="G48" s="1" t="s">
        <v>289</v>
      </c>
      <c r="H48" s="1" t="s">
        <v>231</v>
      </c>
      <c r="I48" s="59"/>
      <c r="J48" s="1" t="s">
        <v>895</v>
      </c>
      <c r="K48" s="1" t="s">
        <v>835</v>
      </c>
      <c r="L48" s="63">
        <v>17.18</v>
      </c>
    </row>
    <row r="49" spans="7:12" x14ac:dyDescent="0.3">
      <c r="G49" s="1" t="s">
        <v>290</v>
      </c>
      <c r="H49" s="1" t="s">
        <v>332</v>
      </c>
      <c r="I49" s="59"/>
      <c r="J49" s="1" t="s">
        <v>896</v>
      </c>
      <c r="K49" s="1" t="s">
        <v>836</v>
      </c>
      <c r="L49" s="63">
        <v>22.64</v>
      </c>
    </row>
    <row r="50" spans="7:12" x14ac:dyDescent="0.3">
      <c r="G50" s="1" t="s">
        <v>291</v>
      </c>
      <c r="H50" s="1" t="s">
        <v>333</v>
      </c>
      <c r="I50" s="59"/>
      <c r="J50" s="1" t="s">
        <v>897</v>
      </c>
      <c r="K50" s="1" t="s">
        <v>837</v>
      </c>
      <c r="L50" s="63">
        <v>19.91</v>
      </c>
    </row>
    <row r="51" spans="7:12" x14ac:dyDescent="0.3">
      <c r="G51" s="1" t="s">
        <v>292</v>
      </c>
      <c r="H51" s="1" t="s">
        <v>356</v>
      </c>
      <c r="I51" s="59"/>
      <c r="J51" s="1" t="s">
        <v>898</v>
      </c>
      <c r="K51" s="1" t="s">
        <v>838</v>
      </c>
      <c r="L51" s="63">
        <v>17.18</v>
      </c>
    </row>
    <row r="52" spans="7:12" x14ac:dyDescent="0.3">
      <c r="G52" s="1" t="s">
        <v>293</v>
      </c>
      <c r="H52" s="1" t="s">
        <v>357</v>
      </c>
      <c r="I52" s="59"/>
      <c r="J52" s="1" t="s">
        <v>899</v>
      </c>
      <c r="K52" s="1" t="s">
        <v>839</v>
      </c>
      <c r="L52" s="63">
        <v>17.18</v>
      </c>
    </row>
    <row r="53" spans="7:12" x14ac:dyDescent="0.3">
      <c r="G53" s="1" t="s">
        <v>294</v>
      </c>
      <c r="H53" s="1" t="s">
        <v>395</v>
      </c>
      <c r="I53" s="59"/>
      <c r="J53" s="1" t="s">
        <v>900</v>
      </c>
      <c r="K53" s="1" t="s">
        <v>840</v>
      </c>
      <c r="L53" s="63">
        <v>22.64</v>
      </c>
    </row>
    <row r="54" spans="7:12" x14ac:dyDescent="0.3">
      <c r="G54" s="1" t="s">
        <v>295</v>
      </c>
      <c r="H54" s="1" t="s">
        <v>513</v>
      </c>
      <c r="I54" s="59"/>
      <c r="J54" s="1" t="s">
        <v>901</v>
      </c>
      <c r="K54" s="1" t="s">
        <v>841</v>
      </c>
      <c r="L54" s="63">
        <v>22.64</v>
      </c>
    </row>
    <row r="55" spans="7:12" x14ac:dyDescent="0.3">
      <c r="G55" s="1" t="s">
        <v>296</v>
      </c>
      <c r="H55" s="1" t="s">
        <v>529</v>
      </c>
      <c r="I55" s="59"/>
      <c r="J55" s="1" t="s">
        <v>902</v>
      </c>
      <c r="K55" s="1" t="s">
        <v>842</v>
      </c>
      <c r="L55" s="63">
        <v>22.64</v>
      </c>
    </row>
    <row r="56" spans="7:12" x14ac:dyDescent="0.3">
      <c r="G56" s="1" t="s">
        <v>297</v>
      </c>
      <c r="H56" s="1" t="s">
        <v>579</v>
      </c>
      <c r="I56" s="59"/>
      <c r="J56" s="1" t="s">
        <v>903</v>
      </c>
      <c r="K56" s="1" t="s">
        <v>843</v>
      </c>
      <c r="L56" s="63">
        <v>22.64</v>
      </c>
    </row>
    <row r="57" spans="7:12" x14ac:dyDescent="0.3">
      <c r="G57" s="1" t="s">
        <v>298</v>
      </c>
      <c r="H57" s="1" t="s">
        <v>765</v>
      </c>
      <c r="I57" s="59"/>
      <c r="J57" s="1" t="s">
        <v>904</v>
      </c>
      <c r="K57" s="1" t="s">
        <v>844</v>
      </c>
      <c r="L57" s="63">
        <v>22.64</v>
      </c>
    </row>
    <row r="58" spans="7:12" x14ac:dyDescent="0.3">
      <c r="G58" s="1" t="s">
        <v>299</v>
      </c>
      <c r="H58" s="1" t="s">
        <v>766</v>
      </c>
      <c r="I58" s="59"/>
      <c r="J58" s="1" t="s">
        <v>905</v>
      </c>
      <c r="K58" s="1" t="s">
        <v>845</v>
      </c>
      <c r="L58" s="63">
        <v>17.18</v>
      </c>
    </row>
    <row r="59" spans="7:12" x14ac:dyDescent="0.3">
      <c r="G59" s="1" t="s">
        <v>300</v>
      </c>
      <c r="H59" s="1" t="s">
        <v>767</v>
      </c>
      <c r="I59" s="59"/>
      <c r="J59" s="1" t="s">
        <v>906</v>
      </c>
      <c r="K59" s="1" t="s">
        <v>846</v>
      </c>
      <c r="L59" s="63">
        <v>14.45</v>
      </c>
    </row>
    <row r="60" spans="7:12" x14ac:dyDescent="0.3">
      <c r="G60" s="1" t="s">
        <v>301</v>
      </c>
      <c r="H60" s="1" t="s">
        <v>768</v>
      </c>
      <c r="I60" s="59"/>
      <c r="J60" s="1" t="s">
        <v>907</v>
      </c>
      <c r="K60" s="1" t="s">
        <v>847</v>
      </c>
      <c r="L60" s="63">
        <v>14.45</v>
      </c>
    </row>
    <row r="61" spans="7:12" x14ac:dyDescent="0.3">
      <c r="G61" s="1" t="s">
        <v>302</v>
      </c>
      <c r="H61" s="1" t="s">
        <v>774</v>
      </c>
      <c r="I61" s="59"/>
      <c r="J61" s="1" t="s">
        <v>908</v>
      </c>
      <c r="K61" s="1" t="s">
        <v>848</v>
      </c>
      <c r="L61" s="63">
        <v>17.18</v>
      </c>
    </row>
    <row r="62" spans="7:12" x14ac:dyDescent="0.3">
      <c r="G62" s="1" t="s">
        <v>303</v>
      </c>
      <c r="H62" s="1" t="s">
        <v>775</v>
      </c>
      <c r="I62" s="59"/>
      <c r="J62" s="1" t="s">
        <v>909</v>
      </c>
      <c r="K62" s="1" t="s">
        <v>849</v>
      </c>
      <c r="L62" s="63">
        <v>17.18</v>
      </c>
    </row>
    <row r="63" spans="7:12" x14ac:dyDescent="0.3">
      <c r="G63" s="1" t="s">
        <v>304</v>
      </c>
      <c r="H63" s="1" t="s">
        <v>776</v>
      </c>
      <c r="I63" s="59"/>
      <c r="J63" s="1" t="s">
        <v>910</v>
      </c>
      <c r="K63" s="1" t="s">
        <v>850</v>
      </c>
      <c r="L63" s="63">
        <v>22.64</v>
      </c>
    </row>
    <row r="64" spans="7:12" x14ac:dyDescent="0.3">
      <c r="G64" s="1" t="s">
        <v>305</v>
      </c>
      <c r="H64" s="1" t="s">
        <v>777</v>
      </c>
      <c r="I64" s="59"/>
      <c r="J64" s="1" t="s">
        <v>911</v>
      </c>
      <c r="K64" s="1" t="s">
        <v>851</v>
      </c>
      <c r="L64" s="63">
        <v>22.64</v>
      </c>
    </row>
    <row r="65" spans="7:12" x14ac:dyDescent="0.3">
      <c r="G65" s="1" t="s">
        <v>306</v>
      </c>
      <c r="H65" s="1" t="s">
        <v>778</v>
      </c>
      <c r="I65" s="59"/>
      <c r="J65" s="1" t="s">
        <v>912</v>
      </c>
      <c r="K65" s="1" t="s">
        <v>924</v>
      </c>
      <c r="L65" s="63">
        <v>19.91</v>
      </c>
    </row>
    <row r="66" spans="7:12" x14ac:dyDescent="0.3">
      <c r="G66" s="1" t="s">
        <v>1196</v>
      </c>
      <c r="H66" s="1" t="s">
        <v>1213</v>
      </c>
      <c r="I66" s="59"/>
      <c r="J66" s="1" t="s">
        <v>913</v>
      </c>
      <c r="K66" s="1" t="s">
        <v>925</v>
      </c>
      <c r="L66" s="63">
        <v>19.91</v>
      </c>
    </row>
    <row r="67" spans="7:12" x14ac:dyDescent="0.3">
      <c r="G67" s="1" t="s">
        <v>1197</v>
      </c>
      <c r="H67" s="1" t="s">
        <v>1214</v>
      </c>
      <c r="I67" s="59"/>
      <c r="J67" s="1" t="s">
        <v>914</v>
      </c>
      <c r="K67" s="1" t="s">
        <v>926</v>
      </c>
      <c r="L67" s="63">
        <v>17.18</v>
      </c>
    </row>
    <row r="68" spans="7:12" x14ac:dyDescent="0.3">
      <c r="G68" s="1" t="s">
        <v>1198</v>
      </c>
      <c r="H68" s="1"/>
      <c r="I68" s="59"/>
      <c r="J68" s="1" t="s">
        <v>915</v>
      </c>
      <c r="K68" s="1" t="s">
        <v>927</v>
      </c>
      <c r="L68" s="63">
        <v>17.18</v>
      </c>
    </row>
    <row r="69" spans="7:12" x14ac:dyDescent="0.3">
      <c r="G69" s="1" t="s">
        <v>1199</v>
      </c>
      <c r="H69" s="1"/>
      <c r="I69" s="59"/>
      <c r="J69" s="1" t="s">
        <v>916</v>
      </c>
      <c r="K69" s="1" t="s">
        <v>928</v>
      </c>
      <c r="L69" s="63">
        <v>22.64</v>
      </c>
    </row>
    <row r="70" spans="7:12" x14ac:dyDescent="0.3">
      <c r="G70" s="1"/>
      <c r="H70" s="1"/>
      <c r="I70" s="59"/>
      <c r="J70" s="1" t="s">
        <v>917</v>
      </c>
      <c r="K70" s="1" t="s">
        <v>929</v>
      </c>
      <c r="L70" s="63">
        <v>19.91</v>
      </c>
    </row>
    <row r="71" spans="7:12" x14ac:dyDescent="0.3">
      <c r="G71" s="1"/>
      <c r="H71" s="1"/>
      <c r="I71" s="59"/>
      <c r="J71" s="1" t="s">
        <v>918</v>
      </c>
      <c r="K71" s="1" t="s">
        <v>930</v>
      </c>
      <c r="L71" s="63">
        <v>22.64</v>
      </c>
    </row>
    <row r="72" spans="7:12" x14ac:dyDescent="0.3">
      <c r="G72" s="1"/>
      <c r="H72" s="1"/>
      <c r="I72" s="59"/>
      <c r="J72" s="1" t="s">
        <v>919</v>
      </c>
      <c r="K72" s="1" t="s">
        <v>931</v>
      </c>
      <c r="L72" s="63">
        <v>17.18</v>
      </c>
    </row>
    <row r="73" spans="7:12" x14ac:dyDescent="0.3">
      <c r="G73" s="1"/>
      <c r="H73" s="1"/>
      <c r="I73" s="59"/>
      <c r="J73" s="1" t="s">
        <v>920</v>
      </c>
      <c r="K73" s="1" t="s">
        <v>932</v>
      </c>
      <c r="L73" s="63">
        <v>17.18</v>
      </c>
    </row>
    <row r="74" spans="7:12" x14ac:dyDescent="0.3">
      <c r="G74" s="1"/>
      <c r="H74" s="1"/>
      <c r="I74" s="59"/>
      <c r="J74" s="1" t="s">
        <v>921</v>
      </c>
      <c r="K74" s="1" t="s">
        <v>942</v>
      </c>
      <c r="L74" s="63">
        <v>19.91</v>
      </c>
    </row>
    <row r="75" spans="7:12" x14ac:dyDescent="0.3">
      <c r="G75" s="1"/>
      <c r="H75" s="1"/>
      <c r="I75" s="59"/>
      <c r="J75" s="1" t="s">
        <v>933</v>
      </c>
      <c r="K75" s="1" t="s">
        <v>943</v>
      </c>
      <c r="L75" s="63">
        <v>17.18</v>
      </c>
    </row>
    <row r="76" spans="7:12" x14ac:dyDescent="0.3">
      <c r="G76" s="1"/>
      <c r="H76" s="1"/>
      <c r="I76" s="59"/>
      <c r="J76" s="1" t="s">
        <v>934</v>
      </c>
      <c r="K76" s="1" t="s">
        <v>945</v>
      </c>
      <c r="L76" s="63">
        <v>22.64</v>
      </c>
    </row>
    <row r="77" spans="7:12" x14ac:dyDescent="0.3">
      <c r="G77" s="1"/>
      <c r="H77" s="1"/>
      <c r="I77" s="59"/>
      <c r="J77" s="1" t="s">
        <v>935</v>
      </c>
      <c r="K77" s="1" t="s">
        <v>946</v>
      </c>
      <c r="L77" s="63">
        <v>17.18</v>
      </c>
    </row>
    <row r="78" spans="7:12" x14ac:dyDescent="0.3">
      <c r="G78" s="1"/>
      <c r="H78" s="1"/>
      <c r="I78" s="59"/>
      <c r="J78" s="1" t="s">
        <v>936</v>
      </c>
      <c r="K78" s="1" t="s">
        <v>947</v>
      </c>
      <c r="L78" s="63">
        <v>19.91</v>
      </c>
    </row>
    <row r="79" spans="7:12" x14ac:dyDescent="0.3">
      <c r="G79" s="1"/>
      <c r="H79" s="1"/>
      <c r="I79" s="59"/>
      <c r="J79" s="1" t="s">
        <v>937</v>
      </c>
      <c r="K79" s="1" t="s">
        <v>948</v>
      </c>
      <c r="L79" s="63">
        <v>22.64</v>
      </c>
    </row>
    <row r="80" spans="7:12" x14ac:dyDescent="0.3">
      <c r="G80" s="1"/>
      <c r="H80" s="1"/>
      <c r="I80" s="59"/>
      <c r="J80" s="1" t="s">
        <v>938</v>
      </c>
      <c r="K80" s="1" t="s">
        <v>949</v>
      </c>
      <c r="L80" s="63">
        <v>17.18</v>
      </c>
    </row>
    <row r="81" spans="7:12" x14ac:dyDescent="0.3">
      <c r="G81" s="1"/>
      <c r="H81" s="1"/>
      <c r="I81" s="59"/>
      <c r="J81" s="1" t="s">
        <v>939</v>
      </c>
      <c r="K81" s="1" t="s">
        <v>950</v>
      </c>
      <c r="L81" s="63">
        <v>22.64</v>
      </c>
    </row>
    <row r="82" spans="7:12" x14ac:dyDescent="0.3">
      <c r="G82" s="1"/>
      <c r="H82" s="1"/>
      <c r="I82" s="59"/>
      <c r="J82" s="1" t="s">
        <v>940</v>
      </c>
      <c r="K82" s="1" t="s">
        <v>951</v>
      </c>
      <c r="L82" s="63">
        <v>22.64</v>
      </c>
    </row>
    <row r="83" spans="7:12" x14ac:dyDescent="0.3">
      <c r="G83" s="1"/>
      <c r="H83" s="1"/>
      <c r="I83" s="59"/>
      <c r="J83" s="1" t="s">
        <v>941</v>
      </c>
      <c r="K83" s="1" t="s">
        <v>952</v>
      </c>
      <c r="L83" s="63">
        <v>19.91</v>
      </c>
    </row>
    <row r="84" spans="7:12" x14ac:dyDescent="0.3">
      <c r="G84" s="1"/>
      <c r="H84" s="1"/>
      <c r="I84" s="59"/>
      <c r="J84" s="1" t="s">
        <v>953</v>
      </c>
      <c r="K84" s="1" t="s">
        <v>961</v>
      </c>
      <c r="L84" s="63">
        <v>17.18</v>
      </c>
    </row>
    <row r="85" spans="7:12" x14ac:dyDescent="0.3">
      <c r="G85" s="1"/>
      <c r="H85" s="1"/>
      <c r="I85" s="59"/>
      <c r="J85" s="1" t="s">
        <v>954</v>
      </c>
      <c r="K85" s="1" t="s">
        <v>962</v>
      </c>
      <c r="L85" s="63">
        <v>17.18</v>
      </c>
    </row>
    <row r="86" spans="7:12" x14ac:dyDescent="0.3">
      <c r="G86" s="1"/>
      <c r="H86" s="1"/>
      <c r="I86" s="59"/>
      <c r="J86" s="1" t="s">
        <v>955</v>
      </c>
      <c r="K86" s="1" t="s">
        <v>963</v>
      </c>
      <c r="L86" s="63">
        <v>22.64</v>
      </c>
    </row>
    <row r="87" spans="7:12" x14ac:dyDescent="0.3">
      <c r="G87" s="1"/>
      <c r="H87" s="1"/>
      <c r="I87" s="59"/>
      <c r="J87" s="1" t="s">
        <v>956</v>
      </c>
      <c r="K87" s="1" t="s">
        <v>964</v>
      </c>
      <c r="L87" s="63">
        <v>22.64</v>
      </c>
    </row>
    <row r="88" spans="7:12" ht="17.399999999999999" x14ac:dyDescent="0.3">
      <c r="G88" s="77"/>
      <c r="H88" s="77"/>
      <c r="I88" s="59"/>
      <c r="J88" s="1" t="s">
        <v>957</v>
      </c>
      <c r="K88" s="1" t="s">
        <v>965</v>
      </c>
      <c r="L88" s="63">
        <v>22.64</v>
      </c>
    </row>
    <row r="89" spans="7:12" x14ac:dyDescent="0.3">
      <c r="G89" s="1"/>
      <c r="H89" s="1"/>
      <c r="I89" s="59"/>
      <c r="J89" s="1" t="s">
        <v>958</v>
      </c>
      <c r="K89" s="1" t="s">
        <v>966</v>
      </c>
      <c r="L89" s="63">
        <v>22.64</v>
      </c>
    </row>
    <row r="90" spans="7:12" x14ac:dyDescent="0.3">
      <c r="G90" s="1"/>
      <c r="H90" s="1"/>
      <c r="I90" s="59"/>
      <c r="J90" s="1" t="s">
        <v>959</v>
      </c>
      <c r="K90" s="1" t="s">
        <v>1149</v>
      </c>
      <c r="L90" s="63">
        <v>25.36</v>
      </c>
    </row>
    <row r="91" spans="7:12" x14ac:dyDescent="0.3">
      <c r="G91" s="1"/>
      <c r="H91" s="1"/>
      <c r="I91" s="59"/>
      <c r="J91" s="1" t="s">
        <v>960</v>
      </c>
      <c r="K91" s="1" t="s">
        <v>1242</v>
      </c>
      <c r="L91" s="63">
        <v>25.36</v>
      </c>
    </row>
    <row r="92" spans="7:12" x14ac:dyDescent="0.3">
      <c r="G92" s="1"/>
      <c r="H92" s="1"/>
      <c r="I92" s="59"/>
      <c r="J92" s="1" t="s">
        <v>1228</v>
      </c>
      <c r="K92" s="1" t="s">
        <v>1243</v>
      </c>
      <c r="L92" s="63">
        <v>25.36</v>
      </c>
    </row>
    <row r="93" spans="7:12" x14ac:dyDescent="0.3">
      <c r="G93" s="1"/>
      <c r="H93" s="1"/>
      <c r="I93" s="59"/>
      <c r="J93" s="1" t="s">
        <v>1229</v>
      </c>
      <c r="K93" s="1" t="s">
        <v>1244</v>
      </c>
      <c r="L93" s="63">
        <v>25.36</v>
      </c>
    </row>
    <row r="94" spans="7:12" x14ac:dyDescent="0.3">
      <c r="G94" s="1"/>
      <c r="H94" s="1"/>
      <c r="I94" s="59"/>
      <c r="J94" s="1" t="s">
        <v>1230</v>
      </c>
      <c r="K94" s="1" t="s">
        <v>1245</v>
      </c>
      <c r="L94" s="63">
        <v>25.36</v>
      </c>
    </row>
    <row r="95" spans="7:12" x14ac:dyDescent="0.3">
      <c r="G95" s="1"/>
      <c r="H95" s="1"/>
      <c r="I95" s="59"/>
      <c r="J95" s="1" t="s">
        <v>1231</v>
      </c>
      <c r="K95" s="1"/>
      <c r="L95" s="63">
        <v>25.36</v>
      </c>
    </row>
    <row r="96" spans="7:12" x14ac:dyDescent="0.3">
      <c r="G96" s="1"/>
      <c r="H96" s="1"/>
      <c r="I96" s="59"/>
      <c r="J96" s="1" t="s">
        <v>1232</v>
      </c>
      <c r="K96" s="1"/>
      <c r="L96" s="63">
        <v>25.36</v>
      </c>
    </row>
    <row r="97" spans="7:12" x14ac:dyDescent="0.3">
      <c r="G97" s="1"/>
      <c r="H97" s="1"/>
      <c r="I97" s="59"/>
      <c r="J97" s="1" t="s">
        <v>1233</v>
      </c>
      <c r="K97" s="1"/>
      <c r="L97" s="63">
        <v>25.36</v>
      </c>
    </row>
    <row r="98" spans="7:12" x14ac:dyDescent="0.3">
      <c r="G98" s="1"/>
      <c r="H98" s="1"/>
      <c r="I98" s="59"/>
      <c r="J98" s="1" t="s">
        <v>1234</v>
      </c>
      <c r="K98" s="1"/>
      <c r="L98" s="63">
        <v>25.36</v>
      </c>
    </row>
    <row r="99" spans="7:12" x14ac:dyDescent="0.3">
      <c r="G99" s="1"/>
      <c r="H99" s="1"/>
      <c r="I99" s="59"/>
      <c r="J99" s="1" t="s">
        <v>1235</v>
      </c>
      <c r="K99" s="1"/>
      <c r="L99" s="63">
        <v>25.36</v>
      </c>
    </row>
    <row r="100" spans="7:12" x14ac:dyDescent="0.3">
      <c r="G100" s="1"/>
      <c r="H100" s="1"/>
      <c r="I100" s="59"/>
      <c r="J100" s="1" t="s">
        <v>1236</v>
      </c>
      <c r="K100" s="1"/>
      <c r="L100" s="63">
        <v>25.36</v>
      </c>
    </row>
  </sheetData>
  <mergeCells count="5">
    <mergeCell ref="O4:Y4"/>
    <mergeCell ref="A4:B4"/>
    <mergeCell ref="D4:E4"/>
    <mergeCell ref="G88:H88"/>
    <mergeCell ref="G4:L4"/>
  </mergeCells>
  <phoneticPr fontId="3" type="noConversion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XeisWorks</vt:lpstr>
      <vt:lpstr>MusikHeroes</vt:lpstr>
      <vt:lpstr>Amazon</vt:lpstr>
      <vt:lpstr>Produktpalette</vt:lpstr>
      <vt:lpstr>Besetzungen</vt:lpstr>
      <vt:lpstr>Händler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Börni</dc:creator>
  <cp:lastModifiedBy>XeisWorks | Bernhard Holl</cp:lastModifiedBy>
  <cp:lastPrinted>2025-10-01T11:44:28Z</cp:lastPrinted>
  <dcterms:created xsi:type="dcterms:W3CDTF">2017-10-18T07:51:12Z</dcterms:created>
  <dcterms:modified xsi:type="dcterms:W3CDTF">2026-09-03T18:16:03Z</dcterms:modified>
</cp:coreProperties>
</file>